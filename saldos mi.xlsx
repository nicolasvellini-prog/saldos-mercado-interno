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olas\Downloads\"/>
    </mc:Choice>
  </mc:AlternateContent>
  <xr:revisionPtr revIDLastSave="0" documentId="13_ncr:1_{75DFCD95-5169-4B71-A6C8-E667E279E2B4}" xr6:coauthVersionLast="47" xr6:coauthVersionMax="47" xr10:uidLastSave="{00000000-0000-0000-0000-000000000000}"/>
  <bookViews>
    <workbookView xWindow="-120" yWindow="-120" windowWidth="29040" windowHeight="15720" xr2:uid="{F81EB92A-90BC-4272-934A-8181E7470A5A}"/>
  </bookViews>
  <sheets>
    <sheet name="Hoja1" sheetId="1" r:id="rId1"/>
    <sheet name="Hoja2" sheetId="2" r:id="rId2"/>
  </sheets>
  <definedNames>
    <definedName name="_xlnm._FilterDatabase" localSheetId="0" hidden="1">Hoja1!$A$1:$M$477</definedName>
    <definedName name="_xlnm._FilterDatabase" localSheetId="1" hidden="1">Hoja2!$A$1:$W$822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293" i="1" l="1"/>
  <c r="O294" i="1"/>
  <c r="O295" i="1"/>
  <c r="O296" i="1"/>
  <c r="O297" i="1"/>
  <c r="O298" i="1"/>
  <c r="O29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2" i="1"/>
</calcChain>
</file>

<file path=xl/sharedStrings.xml><?xml version="1.0" encoding="utf-8"?>
<sst xmlns="http://schemas.openxmlformats.org/spreadsheetml/2006/main" count="5941" uniqueCount="2377">
  <si>
    <t>Módulo del formulario de aplicación</t>
  </si>
  <si>
    <t>Código del formulario de aplicación</t>
  </si>
  <si>
    <t>Número del formulario de aplicación</t>
  </si>
  <si>
    <t>Código de cliente</t>
  </si>
  <si>
    <t>Razón Social</t>
  </si>
  <si>
    <t>Vendedor</t>
  </si>
  <si>
    <t>Código de imputación</t>
  </si>
  <si>
    <t>Código de subcuenta</t>
  </si>
  <si>
    <t>Fecha de Movimiento</t>
  </si>
  <si>
    <t>Saldo Nacional</t>
  </si>
  <si>
    <t>Acumulado Nacional</t>
  </si>
  <si>
    <t>Sucursal </t>
  </si>
  <si>
    <t>Numero completo factura (suc+num)</t>
  </si>
  <si>
    <t>VT</t>
  </si>
  <si>
    <t>ANTMI</t>
  </si>
  <si>
    <t>I/167</t>
  </si>
  <si>
    <t>ANGLADA ALFONSO</t>
  </si>
  <si>
    <t>V1</t>
  </si>
  <si>
    <t>CC</t>
  </si>
  <si>
    <t>2/2/2018</t>
  </si>
  <si>
    <t/>
  </si>
  <si>
    <t>-00004881</t>
  </si>
  <si>
    <t>NDB17</t>
  </si>
  <si>
    <t>21/9/2019</t>
  </si>
  <si>
    <t>0017</t>
  </si>
  <si>
    <t>0017-00000015</t>
  </si>
  <si>
    <t>FA17</t>
  </si>
  <si>
    <t>I/169</t>
  </si>
  <si>
    <t>ARDAPEZ SA</t>
  </si>
  <si>
    <t>JOGR</t>
  </si>
  <si>
    <t>18/1/2023</t>
  </si>
  <si>
    <t>0017-00003790</t>
  </si>
  <si>
    <t>NCA17</t>
  </si>
  <si>
    <t>0017-00000168</t>
  </si>
  <si>
    <t>I/227</t>
  </si>
  <si>
    <t>MARDI SA</t>
  </si>
  <si>
    <t>22/4/2026</t>
  </si>
  <si>
    <t>0017-00007224</t>
  </si>
  <si>
    <t>29/4/2026</t>
  </si>
  <si>
    <t>0017-00007240</t>
  </si>
  <si>
    <t>4/5/2026</t>
  </si>
  <si>
    <t>0017-00007257</t>
  </si>
  <si>
    <t>6/5/2026</t>
  </si>
  <si>
    <t>0017-00007284</t>
  </si>
  <si>
    <t>8/5/2026</t>
  </si>
  <si>
    <t>0017-00007302</t>
  </si>
  <si>
    <t>I/241</t>
  </si>
  <si>
    <t>GIORNO SA</t>
  </si>
  <si>
    <t>JOMO</t>
  </si>
  <si>
    <t>1/7/2020</t>
  </si>
  <si>
    <t>0017-00000091</t>
  </si>
  <si>
    <t>28/8/2020</t>
  </si>
  <si>
    <t>0017-00002189</t>
  </si>
  <si>
    <t>31/8/2020</t>
  </si>
  <si>
    <t>0017-00002191</t>
  </si>
  <si>
    <t>0017-00000099</t>
  </si>
  <si>
    <t>0017-00000100</t>
  </si>
  <si>
    <t>NDA17</t>
  </si>
  <si>
    <t>0017-00000066</t>
  </si>
  <si>
    <t>0017-00000067</t>
  </si>
  <si>
    <t>AJUIN+</t>
  </si>
  <si>
    <t>CCE</t>
  </si>
  <si>
    <t>6/11/2024</t>
  </si>
  <si>
    <t>0013</t>
  </si>
  <si>
    <t>0013-00000026</t>
  </si>
  <si>
    <t>0013-00000027</t>
  </si>
  <si>
    <t>I/443</t>
  </si>
  <si>
    <t>NATUSUR SA</t>
  </si>
  <si>
    <t>2/3/2026</t>
  </si>
  <si>
    <t>0017-00007006</t>
  </si>
  <si>
    <t>0017-00007241</t>
  </si>
  <si>
    <t>0017-00007285</t>
  </si>
  <si>
    <t>0017-00007303</t>
  </si>
  <si>
    <t>FAINI</t>
  </si>
  <si>
    <t>I/444</t>
  </si>
  <si>
    <t>13/10/2016</t>
  </si>
  <si>
    <t>0018</t>
  </si>
  <si>
    <t>0018-00000783</t>
  </si>
  <si>
    <t>16/11/2016</t>
  </si>
  <si>
    <t>0018-00000839</t>
  </si>
  <si>
    <t>6/12/2016</t>
  </si>
  <si>
    <t>0018-00000847</t>
  </si>
  <si>
    <t>14/12/2016</t>
  </si>
  <si>
    <t>0018-00000848</t>
  </si>
  <si>
    <t>I/448</t>
  </si>
  <si>
    <t>23/1/2014</t>
  </si>
  <si>
    <t>0018-10000632</t>
  </si>
  <si>
    <t>27/1/2014</t>
  </si>
  <si>
    <t>0018-10000636</t>
  </si>
  <si>
    <t>I/468</t>
  </si>
  <si>
    <t>FRIGOSUR SRL</t>
  </si>
  <si>
    <t>29/8/2017</t>
  </si>
  <si>
    <t>0017-00000208</t>
  </si>
  <si>
    <t>0017-00000223</t>
  </si>
  <si>
    <t>6/9/2017</t>
  </si>
  <si>
    <t>0017-00007276</t>
  </si>
  <si>
    <t>0017-00007295</t>
  </si>
  <si>
    <t>I/509</t>
  </si>
  <si>
    <t>1/1/2001</t>
  </si>
  <si>
    <t>0018-00000001</t>
  </si>
  <si>
    <t>NCA18</t>
  </si>
  <si>
    <t>30/5/2022</t>
  </si>
  <si>
    <t>0018-00000049</t>
  </si>
  <si>
    <t>I/58</t>
  </si>
  <si>
    <t>ANTONIO MIRALLES SA</t>
  </si>
  <si>
    <t>SEGU</t>
  </si>
  <si>
    <t>28/7/2020</t>
  </si>
  <si>
    <t>0017-00002118</t>
  </si>
  <si>
    <t>30/7/2020</t>
  </si>
  <si>
    <t>0017-00000096</t>
  </si>
  <si>
    <t>0013-00000028</t>
  </si>
  <si>
    <t>I/596</t>
  </si>
  <si>
    <t>27 DE NOVIEMBRE SA</t>
  </si>
  <si>
    <t>12/5/2017</t>
  </si>
  <si>
    <t>0018-00001065</t>
  </si>
  <si>
    <t>23/5/2017</t>
  </si>
  <si>
    <t>0018-00001079</t>
  </si>
  <si>
    <t>0017-00000204</t>
  </si>
  <si>
    <t>4/9/2017</t>
  </si>
  <si>
    <t>17/9/2018</t>
  </si>
  <si>
    <t>0017-00000798</t>
  </si>
  <si>
    <t>20/9/2018</t>
  </si>
  <si>
    <t>0017-00000040</t>
  </si>
  <si>
    <t>1/2/2022</t>
  </si>
  <si>
    <t>-00006713</t>
  </si>
  <si>
    <t>10/2/2022</t>
  </si>
  <si>
    <t>0017-00003052</t>
  </si>
  <si>
    <t>21/4/2026</t>
  </si>
  <si>
    <t>-00009591</t>
  </si>
  <si>
    <t>0017-00007227</t>
  </si>
  <si>
    <t>0017-00007246</t>
  </si>
  <si>
    <t>0017-00007271</t>
  </si>
  <si>
    <t>0017-00007291</t>
  </si>
  <si>
    <t>13/5/2026</t>
  </si>
  <si>
    <t>0017-00007307</t>
  </si>
  <si>
    <t>I/6</t>
  </si>
  <si>
    <t>MARISQUERIA SANTA RITA SRL</t>
  </si>
  <si>
    <t>0017-00000210</t>
  </si>
  <si>
    <t>0017-00000229</t>
  </si>
  <si>
    <t>5/9/2017</t>
  </si>
  <si>
    <t>2/10/2017</t>
  </si>
  <si>
    <t>0017-00000289</t>
  </si>
  <si>
    <t>0017-00000020</t>
  </si>
  <si>
    <t>30/5/2023</t>
  </si>
  <si>
    <t>0017-00004154</t>
  </si>
  <si>
    <t>0017-00000189</t>
  </si>
  <si>
    <t>31/5/2023</t>
  </si>
  <si>
    <t>0017-00004165</t>
  </si>
  <si>
    <t>0017-00000195</t>
  </si>
  <si>
    <t>7/6/2023</t>
  </si>
  <si>
    <t>0017-00004178</t>
  </si>
  <si>
    <t>11/8/2023</t>
  </si>
  <si>
    <t>0017-00004349</t>
  </si>
  <si>
    <t>0017-00000203</t>
  </si>
  <si>
    <t>20/11/2024</t>
  </si>
  <si>
    <t>-00008682</t>
  </si>
  <si>
    <t>I/636</t>
  </si>
  <si>
    <t>PROYECTOS DEL MAR SRL</t>
  </si>
  <si>
    <t>2/6/2017</t>
  </si>
  <si>
    <t>0017-00000002</t>
  </si>
  <si>
    <t>5/6/2017</t>
  </si>
  <si>
    <t>0017-00000003</t>
  </si>
  <si>
    <t>23/6/2017</t>
  </si>
  <si>
    <t>0017-00000030</t>
  </si>
  <si>
    <t>0017-00000005</t>
  </si>
  <si>
    <t>10/12/2019</t>
  </si>
  <si>
    <t>0017-00001711</t>
  </si>
  <si>
    <t>12/12/2019</t>
  </si>
  <si>
    <t>0017-00000076</t>
  </si>
  <si>
    <t>24/7/2025</t>
  </si>
  <si>
    <t>0017-00006402</t>
  </si>
  <si>
    <t>25/7/2025</t>
  </si>
  <si>
    <t>0017-00000246</t>
  </si>
  <si>
    <t>0017-00007304</t>
  </si>
  <si>
    <t>I/69</t>
  </si>
  <si>
    <t>MARBELLA SAIYC</t>
  </si>
  <si>
    <t>10/3/2022</t>
  </si>
  <si>
    <t>0017-00000148</t>
  </si>
  <si>
    <t>18/7/2022</t>
  </si>
  <si>
    <t>-00006906</t>
  </si>
  <si>
    <t>21/7/2022</t>
  </si>
  <si>
    <t>0017-00003315</t>
  </si>
  <si>
    <t>I/7063</t>
  </si>
  <si>
    <t>17/10/2013</t>
  </si>
  <si>
    <t>0018-10000621</t>
  </si>
  <si>
    <t>0018-10000622</t>
  </si>
  <si>
    <t>6/11/2013</t>
  </si>
  <si>
    <t>0018-10000623</t>
  </si>
  <si>
    <t>0018-10000624</t>
  </si>
  <si>
    <t>27/11/2013</t>
  </si>
  <si>
    <t>0018-10000625</t>
  </si>
  <si>
    <t>0018-10000626</t>
  </si>
  <si>
    <t>I/7107</t>
  </si>
  <si>
    <t>17/1/2011</t>
  </si>
  <si>
    <t>0018-00049769</t>
  </si>
  <si>
    <t>24/1/2011</t>
  </si>
  <si>
    <t>0018-10049781</t>
  </si>
  <si>
    <t>6/5/2011</t>
  </si>
  <si>
    <t>0018-10000383</t>
  </si>
  <si>
    <t>0018-10000384</t>
  </si>
  <si>
    <t>23/5/2011</t>
  </si>
  <si>
    <t>0018-10000394</t>
  </si>
  <si>
    <t>0018-10000395</t>
  </si>
  <si>
    <t>31/5/2022</t>
  </si>
  <si>
    <t>0018-00000058</t>
  </si>
  <si>
    <t>I/7116</t>
  </si>
  <si>
    <t>LACAR FISH SA</t>
  </si>
  <si>
    <t>22/7/2025</t>
  </si>
  <si>
    <t>-00009116</t>
  </si>
  <si>
    <t>0017-00007253</t>
  </si>
  <si>
    <t>0017-00007279</t>
  </si>
  <si>
    <t>0017-00007298</t>
  </si>
  <si>
    <t>I/7128</t>
  </si>
  <si>
    <t>21/12/2010</t>
  </si>
  <si>
    <t>0018-10049728</t>
  </si>
  <si>
    <t>0018-10049740</t>
  </si>
  <si>
    <t>0018-10049741</t>
  </si>
  <si>
    <t>10/3/2011</t>
  </si>
  <si>
    <t>0018-10049868</t>
  </si>
  <si>
    <t>0018-00000057</t>
  </si>
  <si>
    <t>I/7149</t>
  </si>
  <si>
    <t>COOPERATIVA  DE TRABAJO DOÑA FRANCISCA LTDA</t>
  </si>
  <si>
    <t>15/4/2025</t>
  </si>
  <si>
    <t>0017-00006047</t>
  </si>
  <si>
    <t>13/5/2025</t>
  </si>
  <si>
    <t>0017-00006137</t>
  </si>
  <si>
    <t>16/5/2025</t>
  </si>
  <si>
    <t>0017-00000235</t>
  </si>
  <si>
    <t>0017-00000236</t>
  </si>
  <si>
    <t>0017-00007214</t>
  </si>
  <si>
    <t>0017-00007229</t>
  </si>
  <si>
    <t>0017-00007248</t>
  </si>
  <si>
    <t>0017-00007273</t>
  </si>
  <si>
    <t>0017-00007293</t>
  </si>
  <si>
    <t>I/7151</t>
  </si>
  <si>
    <t>1/8/2011</t>
  </si>
  <si>
    <t>0018-10050061</t>
  </si>
  <si>
    <t>0018-00000051</t>
  </si>
  <si>
    <t>I/7157</t>
  </si>
  <si>
    <t>25/4/2007</t>
  </si>
  <si>
    <t>0018-10046305</t>
  </si>
  <si>
    <t>0018-00000050</t>
  </si>
  <si>
    <t>I/7159</t>
  </si>
  <si>
    <t>LUCRINO MARE SA</t>
  </si>
  <si>
    <t>3/10/2025</t>
  </si>
  <si>
    <t>0017-00006582</t>
  </si>
  <si>
    <t>7/10/2025</t>
  </si>
  <si>
    <t>0017-00000255</t>
  </si>
  <si>
    <t>9/3/2026</t>
  </si>
  <si>
    <t>0017-00007053</t>
  </si>
  <si>
    <t>31/3/2026</t>
  </si>
  <si>
    <t>0017-00007149</t>
  </si>
  <si>
    <t>6/4/2026</t>
  </si>
  <si>
    <t>0017-00007160</t>
  </si>
  <si>
    <t>14/4/2026</t>
  </si>
  <si>
    <t>0017-00007184</t>
  </si>
  <si>
    <t>16/4/2026</t>
  </si>
  <si>
    <t>0017-00007199</t>
  </si>
  <si>
    <t>0017-00007221</t>
  </si>
  <si>
    <t>0017-00007236</t>
  </si>
  <si>
    <t>0017-00007254</t>
  </si>
  <si>
    <t>0017-00007280</t>
  </si>
  <si>
    <t>I/7166</t>
  </si>
  <si>
    <t>M.Y A. KALIMAR SA</t>
  </si>
  <si>
    <t>6/11/2023</t>
  </si>
  <si>
    <t>0017-00004662</t>
  </si>
  <si>
    <t>7/11/2023</t>
  </si>
  <si>
    <t>0017-00000211</t>
  </si>
  <si>
    <t>16/9/2024</t>
  </si>
  <si>
    <t>0017-00005530</t>
  </si>
  <si>
    <t>18/9/2024</t>
  </si>
  <si>
    <t>0017-00000226</t>
  </si>
  <si>
    <t>4/2/2025</t>
  </si>
  <si>
    <t>0017-00005863</t>
  </si>
  <si>
    <t>5/2/2025</t>
  </si>
  <si>
    <t>0017-00000230</t>
  </si>
  <si>
    <t>I/7189</t>
  </si>
  <si>
    <t>18/7/2013</t>
  </si>
  <si>
    <t>0018-11000603</t>
  </si>
  <si>
    <t>28/10/2013</t>
  </si>
  <si>
    <t>0018-10051176</t>
  </si>
  <si>
    <t>7/11/2013</t>
  </si>
  <si>
    <t>0018-10051201</t>
  </si>
  <si>
    <t>11/11/2013</t>
  </si>
  <si>
    <t>0018-10051210</t>
  </si>
  <si>
    <t>18/11/2013</t>
  </si>
  <si>
    <t>0018-10051227</t>
  </si>
  <si>
    <t>20/11/2013</t>
  </si>
  <si>
    <t>0018-10051239</t>
  </si>
  <si>
    <t>I/7199</t>
  </si>
  <si>
    <t>PESCADERIA VICTORIA SRL</t>
  </si>
  <si>
    <t>22/11/2024</t>
  </si>
  <si>
    <t>0017-00005771</t>
  </si>
  <si>
    <t>29/8/2025</t>
  </si>
  <si>
    <t>0017-00006486</t>
  </si>
  <si>
    <t>0017-00000251</t>
  </si>
  <si>
    <t>5/5/2026</t>
  </si>
  <si>
    <t>0017-00007261</t>
  </si>
  <si>
    <t>I/7212</t>
  </si>
  <si>
    <t>COOPERATIVA DE TRABAJO LA VICTORIOSA LTDA.</t>
  </si>
  <si>
    <t>10/12/2024</t>
  </si>
  <si>
    <t>0017-00005818</t>
  </si>
  <si>
    <t>11/12/2024</t>
  </si>
  <si>
    <t>7/2/2025</t>
  </si>
  <si>
    <t>0017-00005874</t>
  </si>
  <si>
    <t>0017-00000231</t>
  </si>
  <si>
    <t>22/8/2025</t>
  </si>
  <si>
    <t>0017-00006482</t>
  </si>
  <si>
    <t>0017-00000250</t>
  </si>
  <si>
    <t>19/9/2025</t>
  </si>
  <si>
    <t>0017-00006549</t>
  </si>
  <si>
    <t>0017-00000253</t>
  </si>
  <si>
    <t>I/7217</t>
  </si>
  <si>
    <t>FOOD ARTS S.A.</t>
  </si>
  <si>
    <t>28/11/2019</t>
  </si>
  <si>
    <t>0017-00001678</t>
  </si>
  <si>
    <t>4/12/2019</t>
  </si>
  <si>
    <t>0017-00000074</t>
  </si>
  <si>
    <t>I/7222</t>
  </si>
  <si>
    <t>COMERCIAL INAL 2005 SA</t>
  </si>
  <si>
    <t>0017-00000205</t>
  </si>
  <si>
    <t>0017-00000206</t>
  </si>
  <si>
    <t>0017-00000207</t>
  </si>
  <si>
    <t>0017-00000221</t>
  </si>
  <si>
    <t>0017-00000222</t>
  </si>
  <si>
    <t>30/8/2017</t>
  </si>
  <si>
    <t>0017-00000018</t>
  </si>
  <si>
    <t>0017-00007292</t>
  </si>
  <si>
    <t>I/7228</t>
  </si>
  <si>
    <t>AGROPEZ SA</t>
  </si>
  <si>
    <t>17/8/2018</t>
  </si>
  <si>
    <t>0017-00000033</t>
  </si>
  <si>
    <t>22/8/2018</t>
  </si>
  <si>
    <t>0017-00000021</t>
  </si>
  <si>
    <t>20/11/2018</t>
  </si>
  <si>
    <t>0017-00000054</t>
  </si>
  <si>
    <t>28/11/2018</t>
  </si>
  <si>
    <t>0017-00000056</t>
  </si>
  <si>
    <t>I/7237</t>
  </si>
  <si>
    <t>VISTEMAR SA</t>
  </si>
  <si>
    <t>25/9/2018</t>
  </si>
  <si>
    <t>0017-00000025</t>
  </si>
  <si>
    <t>27/5/2022</t>
  </si>
  <si>
    <t>0018-00000046</t>
  </si>
  <si>
    <t>I/7238</t>
  </si>
  <si>
    <t>LUDAPEZ SA</t>
  </si>
  <si>
    <t>0017-00000023</t>
  </si>
  <si>
    <t>0018-00000045</t>
  </si>
  <si>
    <t>0017-00007237</t>
  </si>
  <si>
    <t>0017-00007281</t>
  </si>
  <si>
    <t>0017-00007299</t>
  </si>
  <si>
    <t>I/7239</t>
  </si>
  <si>
    <t>ARTEPESCA SA</t>
  </si>
  <si>
    <t>5/11/2018</t>
  </si>
  <si>
    <t>0017-00000961</t>
  </si>
  <si>
    <t>0017-00000962</t>
  </si>
  <si>
    <t>7/11/2018</t>
  </si>
  <si>
    <t>0017-00000050</t>
  </si>
  <si>
    <t>0017-00000051</t>
  </si>
  <si>
    <t>8/7/2019</t>
  </si>
  <si>
    <t>0017-00001362</t>
  </si>
  <si>
    <t>10/7/2019</t>
  </si>
  <si>
    <t>0017-00001371</t>
  </si>
  <si>
    <t>12/7/2019</t>
  </si>
  <si>
    <t>0017-00000064</t>
  </si>
  <si>
    <t>0017-00000065</t>
  </si>
  <si>
    <t>11/12/2019</t>
  </si>
  <si>
    <t>0017-00001712</t>
  </si>
  <si>
    <t>0017-00000075</t>
  </si>
  <si>
    <t>I/7240</t>
  </si>
  <si>
    <t>PESQUERA SAN CAYETANO S.A.</t>
  </si>
  <si>
    <t>12/5/2026</t>
  </si>
  <si>
    <t>-00009625</t>
  </si>
  <si>
    <t>0017-00007306</t>
  </si>
  <si>
    <t>I/7246</t>
  </si>
  <si>
    <t>CESTARI MARIA ROSANA</t>
  </si>
  <si>
    <t>15/4/2020</t>
  </si>
  <si>
    <t>0017-00001881</t>
  </si>
  <si>
    <t>30/6/2020</t>
  </si>
  <si>
    <t>0017-00000090</t>
  </si>
  <si>
    <t>I/7251</t>
  </si>
  <si>
    <t>MARONTI S. A.</t>
  </si>
  <si>
    <t>15/1/2020</t>
  </si>
  <si>
    <t>0017-00000077</t>
  </si>
  <si>
    <t>13/2/2020</t>
  </si>
  <si>
    <t>0017-00000049</t>
  </si>
  <si>
    <t>8/2/2024</t>
  </si>
  <si>
    <t>0017-00004994</t>
  </si>
  <si>
    <t>9/2/2024</t>
  </si>
  <si>
    <t>0017-00000216</t>
  </si>
  <si>
    <t>I/7253</t>
  </si>
  <si>
    <t>LUMELL SA</t>
  </si>
  <si>
    <t>0017-00007162</t>
  </si>
  <si>
    <t>0017-00007185</t>
  </si>
  <si>
    <t>0017-00007200</t>
  </si>
  <si>
    <t>0017-00007222</t>
  </si>
  <si>
    <t>0017-00007238</t>
  </si>
  <si>
    <t>0017-00007255</t>
  </si>
  <si>
    <t>0017-00007282</t>
  </si>
  <si>
    <t>0017-00007300</t>
  </si>
  <si>
    <t>0017-00007309</t>
  </si>
  <si>
    <t>I/7255</t>
  </si>
  <si>
    <t>SIMONE AUTOMOTORES SA</t>
  </si>
  <si>
    <t>22/5/2020</t>
  </si>
  <si>
    <t>0017-00001977</t>
  </si>
  <si>
    <t>8/7/2020</t>
  </si>
  <si>
    <t>0017-00000095</t>
  </si>
  <si>
    <t>FA20</t>
  </si>
  <si>
    <t>I/7257</t>
  </si>
  <si>
    <t>PEUGEOT CITROEN ARGENTINA SA</t>
  </si>
  <si>
    <t>29/6/2020</t>
  </si>
  <si>
    <t>0020</t>
  </si>
  <si>
    <t>0020-00000003</t>
  </si>
  <si>
    <t>NCA20</t>
  </si>
  <si>
    <t>1/10/2020</t>
  </si>
  <si>
    <t>0020-00000002</t>
  </si>
  <si>
    <t>I/7258</t>
  </si>
  <si>
    <t>FYR SA</t>
  </si>
  <si>
    <t>14/8/2020</t>
  </si>
  <si>
    <t>0017-00000098</t>
  </si>
  <si>
    <t>0013-00000031</t>
  </si>
  <si>
    <t>I/7259</t>
  </si>
  <si>
    <t>PUERTO RAWSON PATAGONIA SA</t>
  </si>
  <si>
    <t>8/7/2021</t>
  </si>
  <si>
    <t>0017-00002709</t>
  </si>
  <si>
    <t>0017-00000131</t>
  </si>
  <si>
    <t>22/7/2021</t>
  </si>
  <si>
    <t>0017-00002732</t>
  </si>
  <si>
    <t>17/9/2021</t>
  </si>
  <si>
    <t>0017-00000138</t>
  </si>
  <si>
    <t>I/7264</t>
  </si>
  <si>
    <t>IBERCONSA DE ARGENTINA S A</t>
  </si>
  <si>
    <t>6/10/2020</t>
  </si>
  <si>
    <t>0020-00000047</t>
  </si>
  <si>
    <t>24/6/2021</t>
  </si>
  <si>
    <t>0020-00000057</t>
  </si>
  <si>
    <t>0020-00000004</t>
  </si>
  <si>
    <t>0020-00000062</t>
  </si>
  <si>
    <t>0020-00000005</t>
  </si>
  <si>
    <t>I/7266</t>
  </si>
  <si>
    <t> FUERTES VIENTOS SA</t>
  </si>
  <si>
    <t>26/8/2020</t>
  </si>
  <si>
    <t>0017-00002176</t>
  </si>
  <si>
    <t>0018-00000052</t>
  </si>
  <si>
    <t>I/7267</t>
  </si>
  <si>
    <t>TRANSPORTE GYAN S.R.L</t>
  </si>
  <si>
    <t>13/8/2024</t>
  </si>
  <si>
    <t>0017-00005463</t>
  </si>
  <si>
    <t>0017-00000224</t>
  </si>
  <si>
    <t>I/7269</t>
  </si>
  <si>
    <t>SUDOCEAN SOCIEDAD POR ACCIONES SIMPLIFICADA</t>
  </si>
  <si>
    <t>0017-00002711</t>
  </si>
  <si>
    <t>0017-00000130</t>
  </si>
  <si>
    <t>0017-00002734</t>
  </si>
  <si>
    <t>0017-00000139</t>
  </si>
  <si>
    <t>I/7270</t>
  </si>
  <si>
    <t>MARINA AUSTRAL S.A.</t>
  </si>
  <si>
    <t>16/11/2020</t>
  </si>
  <si>
    <t>0017-00002339</t>
  </si>
  <si>
    <t>0017-00000114</t>
  </si>
  <si>
    <t>0017-00002713</t>
  </si>
  <si>
    <t>0017-00000128</t>
  </si>
  <si>
    <t>0017-00002735</t>
  </si>
  <si>
    <t>0017-00000137</t>
  </si>
  <si>
    <t>16/9/2022</t>
  </si>
  <si>
    <t>0017-00003437</t>
  </si>
  <si>
    <t>0017-00000164</t>
  </si>
  <si>
    <t>0017-00007058</t>
  </si>
  <si>
    <t>0017-00000261</t>
  </si>
  <si>
    <t>I/7273</t>
  </si>
  <si>
    <t>COOPERATIVA DE TRABAJO DEL NORTE LTDA</t>
  </si>
  <si>
    <t>0017-00002712</t>
  </si>
  <si>
    <t>0017-00000129</t>
  </si>
  <si>
    <t>30/6/2022</t>
  </si>
  <si>
    <t>0017-00003270</t>
  </si>
  <si>
    <t>1/7/2022</t>
  </si>
  <si>
    <t>0017-00003271</t>
  </si>
  <si>
    <t>6/7/2022</t>
  </si>
  <si>
    <t>0017-00000159</t>
  </si>
  <si>
    <t>8/7/2022</t>
  </si>
  <si>
    <t>0017-00000160</t>
  </si>
  <si>
    <t>I/7279</t>
  </si>
  <si>
    <t>CORYEN SA</t>
  </si>
  <si>
    <t>0017-00007250</t>
  </si>
  <si>
    <t>0017-00007275</t>
  </si>
  <si>
    <t>0017-00007294</t>
  </si>
  <si>
    <t>0017-00007308</t>
  </si>
  <si>
    <t>I/7301</t>
  </si>
  <si>
    <t>PESQUERA 20 DE NOVIEMBRE S.A.</t>
  </si>
  <si>
    <t>30/6/2023</t>
  </si>
  <si>
    <t>0018-00000064</t>
  </si>
  <si>
    <t>NDA18</t>
  </si>
  <si>
    <t>I/7302</t>
  </si>
  <si>
    <t>SAORI SA</t>
  </si>
  <si>
    <t>26/5/2023</t>
  </si>
  <si>
    <t>0017-00000182</t>
  </si>
  <si>
    <t>22/6/2023</t>
  </si>
  <si>
    <t>0018-00000062</t>
  </si>
  <si>
    <t>5/9/2023</t>
  </si>
  <si>
    <t>0017-00004395</t>
  </si>
  <si>
    <t>11/9/2023</t>
  </si>
  <si>
    <t>0017-00004416</t>
  </si>
  <si>
    <t>24/1/2024</t>
  </si>
  <si>
    <t>0017-00004938</t>
  </si>
  <si>
    <t>25/1/2024</t>
  </si>
  <si>
    <t>0017-00000214</t>
  </si>
  <si>
    <t>0017-00007286</t>
  </si>
  <si>
    <t>0017-00007305</t>
  </si>
  <si>
    <t>I/7304</t>
  </si>
  <si>
    <t>VENUS PESQUERA SRL</t>
  </si>
  <si>
    <t>11/5/2023</t>
  </si>
  <si>
    <t>0017-00004089</t>
  </si>
  <si>
    <t>16/5/2023</t>
  </si>
  <si>
    <t>0017-00000180</t>
  </si>
  <si>
    <t>I/7308</t>
  </si>
  <si>
    <t>(NO USAR) COOPERATIVA DE TRABAJO FORTALEZA LIMITADA</t>
  </si>
  <si>
    <t>4/4/2025</t>
  </si>
  <si>
    <t>0017-00006007</t>
  </si>
  <si>
    <t>23/4/2025</t>
  </si>
  <si>
    <t>0017-00000234</t>
  </si>
  <si>
    <t>I/7309</t>
  </si>
  <si>
    <t>11/10/2023</t>
  </si>
  <si>
    <t>0017-00004561</t>
  </si>
  <si>
    <t>12/10/2023</t>
  </si>
  <si>
    <t>0017-00000209</t>
  </si>
  <si>
    <t>0017-00004939</t>
  </si>
  <si>
    <t>0017-00004940</t>
  </si>
  <si>
    <t>0017-00000213</t>
  </si>
  <si>
    <t>26/1/2024</t>
  </si>
  <si>
    <t>0017-00000215</t>
  </si>
  <si>
    <t>23/7/2024</t>
  </si>
  <si>
    <t>0017-00005423</t>
  </si>
  <si>
    <t>31/7/2024</t>
  </si>
  <si>
    <t>0017-00005437</t>
  </si>
  <si>
    <t>7/8/2024</t>
  </si>
  <si>
    <t>0017-00005449</t>
  </si>
  <si>
    <t>0017-00005462</t>
  </si>
  <si>
    <t>14/8/2024</t>
  </si>
  <si>
    <t>0017-00005467</t>
  </si>
  <si>
    <t>27/8/2024</t>
  </si>
  <si>
    <t>0017-00005489</t>
  </si>
  <si>
    <t>28/8/2024</t>
  </si>
  <si>
    <t>0017-00005490</t>
  </si>
  <si>
    <t>6/9/2024</t>
  </si>
  <si>
    <t>0017-00005496</t>
  </si>
  <si>
    <t>0017-00005500</t>
  </si>
  <si>
    <t>13/9/2024</t>
  </si>
  <si>
    <t>0017-00005520</t>
  </si>
  <si>
    <t>4/10/2024</t>
  </si>
  <si>
    <t>0017-00005602</t>
  </si>
  <si>
    <t>I/7310</t>
  </si>
  <si>
    <t>COOPERATIVA DE TRABAJO CAÑAMAR LIMITADA</t>
  </si>
  <si>
    <t>27/3/2025</t>
  </si>
  <si>
    <t>0017-00005972</t>
  </si>
  <si>
    <t>9/6/2025</t>
  </si>
  <si>
    <t>0017-00006222</t>
  </si>
  <si>
    <t>0017-00007287</t>
  </si>
  <si>
    <t>I/7312</t>
  </si>
  <si>
    <t>MARINA PORT SERVICES SRL</t>
  </si>
  <si>
    <t>4/7/2023</t>
  </si>
  <si>
    <t>0017-00004238</t>
  </si>
  <si>
    <t>10/7/2023</t>
  </si>
  <si>
    <t>0017-00000201</t>
  </si>
  <si>
    <t>I/7313</t>
  </si>
  <si>
    <t>DISTRIBUIDORA EL FARO SA</t>
  </si>
  <si>
    <t>15/8/2024</t>
  </si>
  <si>
    <t>0017-00005469</t>
  </si>
  <si>
    <t>I/7319</t>
  </si>
  <si>
    <t>FENIX INTERNATIONAL S A</t>
  </si>
  <si>
    <t>18/9/2023</t>
  </si>
  <si>
    <t>0017-00004431</t>
  </si>
  <si>
    <t>26/9/2023</t>
  </si>
  <si>
    <t>8/3/2024</t>
  </si>
  <si>
    <t>0017-00005101</t>
  </si>
  <si>
    <t>13/3/2024</t>
  </si>
  <si>
    <t>0017-00005121</t>
  </si>
  <si>
    <t>20/3/2024</t>
  </si>
  <si>
    <t>0017-00000218</t>
  </si>
  <si>
    <t>0017-00000219</t>
  </si>
  <si>
    <t>I/7321</t>
  </si>
  <si>
    <t>MC CAIN ARGENTINA S A</t>
  </si>
  <si>
    <t>20/2/2026</t>
  </si>
  <si>
    <t>0017-00006976</t>
  </si>
  <si>
    <t>11/3/2026</t>
  </si>
  <si>
    <t>0020-00000186</t>
  </si>
  <si>
    <t>26/3/2026</t>
  </si>
  <si>
    <t>0020-00000187</t>
  </si>
  <si>
    <t>10/4/2026</t>
  </si>
  <si>
    <t>0020-00000188</t>
  </si>
  <si>
    <t>23/4/2026</t>
  </si>
  <si>
    <t>0020-00000189</t>
  </si>
  <si>
    <t>27/4/2026</t>
  </si>
  <si>
    <t>0020-00000012</t>
  </si>
  <si>
    <t>0020-00000013</t>
  </si>
  <si>
    <t>I/7325</t>
  </si>
  <si>
    <t>GUBITI SA</t>
  </si>
  <si>
    <t>0017-00007195</t>
  </si>
  <si>
    <t>0017-00007217</t>
  </si>
  <si>
    <t>0017-00007233</t>
  </si>
  <si>
    <t>I/7326</t>
  </si>
  <si>
    <t>18/7/2025</t>
  </si>
  <si>
    <t>0017-00006385</t>
  </si>
  <si>
    <t>0017-00006401</t>
  </si>
  <si>
    <t>30/7/2025</t>
  </si>
  <si>
    <t>0017-00000247</t>
  </si>
  <si>
    <t>0017-00000248</t>
  </si>
  <si>
    <t>18/8/2025</t>
  </si>
  <si>
    <t>0017-00006455</t>
  </si>
  <si>
    <t>24/9/2025</t>
  </si>
  <si>
    <t>0017-00006567</t>
  </si>
  <si>
    <t>I/7330</t>
  </si>
  <si>
    <t>0017-00006023</t>
  </si>
  <si>
    <t>0017-00006131</t>
  </si>
  <si>
    <t>0017-00000237</t>
  </si>
  <si>
    <t>3/7/2025</t>
  </si>
  <si>
    <t>0017-00006315</t>
  </si>
  <si>
    <t>16/7/2025</t>
  </si>
  <si>
    <t>0017-00006367</t>
  </si>
  <si>
    <t>0017-00006368</t>
  </si>
  <si>
    <t>0017-00006369</t>
  </si>
  <si>
    <t>17/7/2025</t>
  </si>
  <si>
    <t>0017-00006370</t>
  </si>
  <si>
    <t>0017-00006372</t>
  </si>
  <si>
    <t>12/8/2025</t>
  </si>
  <si>
    <t>0017-00006454</t>
  </si>
  <si>
    <t>9/9/2025</t>
  </si>
  <si>
    <t>0017-00006522</t>
  </si>
  <si>
    <t>26/9/2025</t>
  </si>
  <si>
    <t>0017-00006568</t>
  </si>
  <si>
    <t>I/7332</t>
  </si>
  <si>
    <t>ALIMENPES SA</t>
  </si>
  <si>
    <t>11/8/2025</t>
  </si>
  <si>
    <t>-00009155</t>
  </si>
  <si>
    <t>15/9/2025</t>
  </si>
  <si>
    <t>-00009219</t>
  </si>
  <si>
    <t>FB17</t>
  </si>
  <si>
    <t>I/7334</t>
  </si>
  <si>
    <t>22/8/2024</t>
  </si>
  <si>
    <t>0017-00000080</t>
  </si>
  <si>
    <t>I/7335</t>
  </si>
  <si>
    <t>INDUSTRIAS EL CORSARIO S.A.</t>
  </si>
  <si>
    <t>30/10/2025</t>
  </si>
  <si>
    <t>0017-00006659</t>
  </si>
  <si>
    <t>0017-00000256</t>
  </si>
  <si>
    <t>I/7338</t>
  </si>
  <si>
    <t>FERNANDEZ CARLOS LEONARDO</t>
  </si>
  <si>
    <t>1/12/2025</t>
  </si>
  <si>
    <t>0017-00006790</t>
  </si>
  <si>
    <t>10/12/2025</t>
  </si>
  <si>
    <t>0017-00000260</t>
  </si>
  <si>
    <t>I/7341</t>
  </si>
  <si>
    <t>DUBAR BRUNO CLAUDIO</t>
  </si>
  <si>
    <t>16/10/2025</t>
  </si>
  <si>
    <t>0017-00006611</t>
  </si>
  <si>
    <t>21/10/2025</t>
  </si>
  <si>
    <t>0017-00006625</t>
  </si>
  <si>
    <t>I/7342</t>
  </si>
  <si>
    <t>COOPERATIVA FORTALEZA LIMITADA</t>
  </si>
  <si>
    <t>19/5/2025</t>
  </si>
  <si>
    <t>0017-00006161</t>
  </si>
  <si>
    <t>I/7343</t>
  </si>
  <si>
    <t>0017-00006025</t>
  </si>
  <si>
    <t>29/4/2025</t>
  </si>
  <si>
    <t>0017-00006086</t>
  </si>
  <si>
    <t>2/5/2025</t>
  </si>
  <si>
    <t>0017-00006102</t>
  </si>
  <si>
    <t>7/5/2025</t>
  </si>
  <si>
    <t>0017-00006117</t>
  </si>
  <si>
    <t>0017-00006133</t>
  </si>
  <si>
    <t>0017-00006150</t>
  </si>
  <si>
    <t>0017-00006160</t>
  </si>
  <si>
    <t>20/5/2025</t>
  </si>
  <si>
    <t>0017-00006175</t>
  </si>
  <si>
    <t>13/6/2025</t>
  </si>
  <si>
    <t>0017-00006256</t>
  </si>
  <si>
    <t>0017-00006316</t>
  </si>
  <si>
    <t>0017-00006394</t>
  </si>
  <si>
    <t>0017-00000245</t>
  </si>
  <si>
    <t>I/7345</t>
  </si>
  <si>
    <t>PESQUERA BUENA VISTA SA</t>
  </si>
  <si>
    <t>0017-00007264</t>
  </si>
  <si>
    <t>I/7347</t>
  </si>
  <si>
    <t> MEYER SACIF</t>
  </si>
  <si>
    <t>8/5/2025</t>
  </si>
  <si>
    <t>0017-00006130</t>
  </si>
  <si>
    <t>10/6/2025</t>
  </si>
  <si>
    <t>0017-00000240</t>
  </si>
  <si>
    <t>8/8/2025</t>
  </si>
  <si>
    <t>0017-00006432</t>
  </si>
  <si>
    <t>0017-00000249</t>
  </si>
  <si>
    <t>I/7354</t>
  </si>
  <si>
    <t>SANABRIA PABLO JAVIER</t>
  </si>
  <si>
    <t>2/10/2025</t>
  </si>
  <si>
    <t>NCB17</t>
  </si>
  <si>
    <t>13/10/2025</t>
  </si>
  <si>
    <t>0017-00000001</t>
  </si>
  <si>
    <t>I/7356</t>
  </si>
  <si>
    <t>LA ISOLANA SA</t>
  </si>
  <si>
    <t>0017-00007278</t>
  </si>
  <si>
    <t>0017-00007297</t>
  </si>
  <si>
    <t>I/7358</t>
  </si>
  <si>
    <t>CONGELADOS LOS TANOS S. A.</t>
  </si>
  <si>
    <t>15/4/2026</t>
  </si>
  <si>
    <t>-00009575</t>
  </si>
  <si>
    <t>I/7359</t>
  </si>
  <si>
    <t>PUERTO RAWAMAR S.A.</t>
  </si>
  <si>
    <t>-00009566</t>
  </si>
  <si>
    <t>I/7360</t>
  </si>
  <si>
    <t>ARMADORA ACRUX SA</t>
  </si>
  <si>
    <t>17/4/2026</t>
  </si>
  <si>
    <t>0017-00007206</t>
  </si>
  <si>
    <t>0017-00007266</t>
  </si>
  <si>
    <t>I/7361</t>
  </si>
  <si>
    <t>SHIN YANG AR SA</t>
  </si>
  <si>
    <t>7/4/2026</t>
  </si>
  <si>
    <t>0017-00007166</t>
  </si>
  <si>
    <t>0017-00007167</t>
  </si>
  <si>
    <t>0017-00007207</t>
  </si>
  <si>
    <t>0017-00007265</t>
  </si>
  <si>
    <t>0017-00007268</t>
  </si>
  <si>
    <t>I/7362</t>
  </si>
  <si>
    <t>GASTRONOMIA SATORIL1 S.A.</t>
  </si>
  <si>
    <t>0017-00007174</t>
  </si>
  <si>
    <t>30/4/2026</t>
  </si>
  <si>
    <t>0017-00007243</t>
  </si>
  <si>
    <t>I/7363</t>
  </si>
  <si>
    <t>RICH MARINE FISHERY S.A.</t>
  </si>
  <si>
    <t>0017-00007169</t>
  </si>
  <si>
    <t>8/4/2026</t>
  </si>
  <si>
    <t>0017-00007172</t>
  </si>
  <si>
    <t>0017-00007210</t>
  </si>
  <si>
    <t>0017-00007211</t>
  </si>
  <si>
    <t>0017-00007267</t>
  </si>
  <si>
    <t>0017-00007269</t>
  </si>
  <si>
    <t>0017-00007270</t>
  </si>
  <si>
    <t>I/809</t>
  </si>
  <si>
    <t>18/1/2002</t>
  </si>
  <si>
    <t>0018-00038720</t>
  </si>
  <si>
    <t>24/1/2002</t>
  </si>
  <si>
    <t>0018-00038821</t>
  </si>
  <si>
    <t>0018-00000054</t>
  </si>
  <si>
    <t>I/854</t>
  </si>
  <si>
    <t>CONGELADOS ARTICO SA</t>
  </si>
  <si>
    <t>0017-00006371</t>
  </si>
  <si>
    <t>0017-00000244</t>
  </si>
  <si>
    <t>0017-00007244</t>
  </si>
  <si>
    <t>0017-00007245</t>
  </si>
  <si>
    <t>0017-00007262</t>
  </si>
  <si>
    <t>0017-00007263</t>
  </si>
  <si>
    <t>7/5/2026</t>
  </si>
  <si>
    <t>0017-00007290</t>
  </si>
  <si>
    <t>0017-00007310</t>
  </si>
  <si>
    <t>I/865</t>
  </si>
  <si>
    <t>1/11/2011</t>
  </si>
  <si>
    <t>0018-10050122</t>
  </si>
  <si>
    <t>0018-10050123</t>
  </si>
  <si>
    <t>0018-10050158</t>
  </si>
  <si>
    <t>1/12/2011</t>
  </si>
  <si>
    <t>0018-10050157</t>
  </si>
  <si>
    <t>0018-10050160</t>
  </si>
  <si>
    <t>0018-11050159</t>
  </si>
  <si>
    <t>21/12/2011</t>
  </si>
  <si>
    <t>0018-01000472</t>
  </si>
  <si>
    <t>27/12/2011</t>
  </si>
  <si>
    <t>0018-01000473</t>
  </si>
  <si>
    <t>0018-10000474</t>
  </si>
  <si>
    <t>30/12/2011</t>
  </si>
  <si>
    <t>0018-10000475</t>
  </si>
  <si>
    <t>0018-10000476</t>
  </si>
  <si>
    <t>0018-10050229</t>
  </si>
  <si>
    <t>0018-10050230</t>
  </si>
  <si>
    <t>0018-10050231</t>
  </si>
  <si>
    <t>4/1/2012</t>
  </si>
  <si>
    <t>0018-10000477</t>
  </si>
  <si>
    <t>0018-10000478</t>
  </si>
  <si>
    <t>0018-10000479</t>
  </si>
  <si>
    <t>0018-10000480</t>
  </si>
  <si>
    <t>9/1/2012</t>
  </si>
  <si>
    <t>0018-10000481</t>
  </si>
  <si>
    <t>0018-10000482</t>
  </si>
  <si>
    <t>10/1/2012</t>
  </si>
  <si>
    <t>0018-10000483</t>
  </si>
  <si>
    <t>0018-10000484</t>
  </si>
  <si>
    <t>12/1/2012</t>
  </si>
  <si>
    <t>0018-10000485</t>
  </si>
  <si>
    <t>0018-10000486</t>
  </si>
  <si>
    <t>19/1/2012</t>
  </si>
  <si>
    <t>0018-10000487</t>
  </si>
  <si>
    <t>0018-10000488</t>
  </si>
  <si>
    <t>23/1/2012</t>
  </si>
  <si>
    <t>0018-10000489</t>
  </si>
  <si>
    <t>0018-10000490</t>
  </si>
  <si>
    <t>30/1/2012</t>
  </si>
  <si>
    <t>0018-10000491</t>
  </si>
  <si>
    <t>0018-10000492</t>
  </si>
  <si>
    <t>0018-10000493</t>
  </si>
  <si>
    <t>0018-10000494</t>
  </si>
  <si>
    <t>31/1/2012</t>
  </si>
  <si>
    <t>0018-10000495</t>
  </si>
  <si>
    <t>0018-10000496</t>
  </si>
  <si>
    <t>0018-10000497</t>
  </si>
  <si>
    <t>0018-10000498</t>
  </si>
  <si>
    <t>0018-10000499</t>
  </si>
  <si>
    <t>0018-10000500</t>
  </si>
  <si>
    <t>2/2/2012</t>
  </si>
  <si>
    <t>0018-10000501</t>
  </si>
  <si>
    <t>0018-10000502</t>
  </si>
  <si>
    <t>0018-10000503</t>
  </si>
  <si>
    <t>0018-10000504</t>
  </si>
  <si>
    <t>3/2/2012</t>
  </si>
  <si>
    <t>0018-10000505</t>
  </si>
  <si>
    <t>0018-10000506</t>
  </si>
  <si>
    <t>0018-10000507</t>
  </si>
  <si>
    <t>8/2/2012</t>
  </si>
  <si>
    <t>0018-10000508</t>
  </si>
  <si>
    <t>0018-10000509</t>
  </si>
  <si>
    <t>0018-10000510</t>
  </si>
  <si>
    <t>0018-10000511</t>
  </si>
  <si>
    <t>0018-10000512</t>
  </si>
  <si>
    <t>13/2/2012</t>
  </si>
  <si>
    <t>0018-10000513</t>
  </si>
  <si>
    <t>2/3/2012</t>
  </si>
  <si>
    <t>0018-10000515</t>
  </si>
  <si>
    <t>0018-10000516</t>
  </si>
  <si>
    <t>0018-10000517</t>
  </si>
  <si>
    <t>0018-10000518</t>
  </si>
  <si>
    <t>0018-10000519</t>
  </si>
  <si>
    <t>0018-10000520</t>
  </si>
  <si>
    <t>0018-10000521</t>
  </si>
  <si>
    <t>0018-10000522</t>
  </si>
  <si>
    <t>0018-10000523</t>
  </si>
  <si>
    <t>I/98</t>
  </si>
  <si>
    <t>GAVETECO SAICFeI</t>
  </si>
  <si>
    <t>4/6/2019</t>
  </si>
  <si>
    <t>0017-00001306</t>
  </si>
  <si>
    <t>5/6/2019</t>
  </si>
  <si>
    <t>0017-00000062</t>
  </si>
  <si>
    <t>13/8/2019</t>
  </si>
  <si>
    <t>0017-00001454</t>
  </si>
  <si>
    <t>22/8/2019</t>
  </si>
  <si>
    <t>24/1/2020</t>
  </si>
  <si>
    <t>0017-00001737</t>
  </si>
  <si>
    <t>0017-00000078</t>
  </si>
  <si>
    <t>27/1/2020</t>
  </si>
  <si>
    <t>0017-00000079</t>
  </si>
  <si>
    <t>10/2/2020</t>
  </si>
  <si>
    <t>0017-00001768</t>
  </si>
  <si>
    <t>0017-00000081</t>
  </si>
  <si>
    <t>0017-00001784</t>
  </si>
  <si>
    <t>0017-00000082</t>
  </si>
  <si>
    <t>1/6/2020</t>
  </si>
  <si>
    <t>0017-00002002</t>
  </si>
  <si>
    <t>5/6/2020</t>
  </si>
  <si>
    <t>0017-00000086</t>
  </si>
  <si>
    <t>11/11/2020</t>
  </si>
  <si>
    <t>0017-00000111</t>
  </si>
  <si>
    <t>0017-00000112</t>
  </si>
  <si>
    <t>0017-00000069</t>
  </si>
  <si>
    <t>12/11/2020</t>
  </si>
  <si>
    <t>0017-00000070</t>
  </si>
  <si>
    <t>24/2/2021</t>
  </si>
  <si>
    <t>0017-00002491</t>
  </si>
  <si>
    <t>0017-00000119</t>
  </si>
  <si>
    <t>22/10/2021</t>
  </si>
  <si>
    <t>0017-00002888</t>
  </si>
  <si>
    <t>25/10/2021</t>
  </si>
  <si>
    <t>0017-00002891</t>
  </si>
  <si>
    <t>0017-00000144</t>
  </si>
  <si>
    <t>0017-00000145</t>
  </si>
  <si>
    <t>9/6/2022</t>
  </si>
  <si>
    <t>0017-00003229</t>
  </si>
  <si>
    <t>13/6/2022</t>
  </si>
  <si>
    <t>0017-00003235</t>
  </si>
  <si>
    <t>0017-00003240</t>
  </si>
  <si>
    <t>16/6/2022</t>
  </si>
  <si>
    <t>0017-00000155</t>
  </si>
  <si>
    <t>0017-00000156</t>
  </si>
  <si>
    <t>0017-00000157</t>
  </si>
  <si>
    <t>3/3/2023</t>
  </si>
  <si>
    <t>-00007401</t>
  </si>
  <si>
    <t>12/4/2023</t>
  </si>
  <si>
    <t>0017-00004016</t>
  </si>
  <si>
    <t>0017-00000191</t>
  </si>
  <si>
    <t>9/6/2023</t>
  </si>
  <si>
    <t>0017-00004194</t>
  </si>
  <si>
    <t>AJUIN-</t>
  </si>
  <si>
    <t>0013-00000012</t>
  </si>
  <si>
    <t>Cuenta</t>
  </si>
  <si>
    <t>I/860</t>
  </si>
  <si>
    <t>PESQUERA EL GRINGO SRL</t>
  </si>
  <si>
    <t>E/1042</t>
  </si>
  <si>
    <t>PACIFIC AMERICAN FISH COMPANY, INC</t>
  </si>
  <si>
    <t>E/1044</t>
  </si>
  <si>
    <t>OCEANPRO FOODS (HONGKONG) CO. LIMITED</t>
  </si>
  <si>
    <t>E/1045</t>
  </si>
  <si>
    <t>OCEANPRO GROUP CO., LIMITED</t>
  </si>
  <si>
    <t>E/1055</t>
  </si>
  <si>
    <t>MORFISH LLC</t>
  </si>
  <si>
    <t>E/1077</t>
  </si>
  <si>
    <t>PRODAKVA LTD.</t>
  </si>
  <si>
    <t>E/1111</t>
  </si>
  <si>
    <t> MICHAEL THOMAS EISSLER FARIAS</t>
  </si>
  <si>
    <t>E/1114</t>
  </si>
  <si>
    <t>GRAND PARTNER AS</t>
  </si>
  <si>
    <t>E/1125</t>
  </si>
  <si>
    <t>ARTI SEAFOOD GMBH</t>
  </si>
  <si>
    <t>I/7364</t>
  </si>
  <si>
    <t>PESQUERA BUENAVISTA S.A</t>
  </si>
  <si>
    <t>E/1825</t>
  </si>
  <si>
    <t>BLU ARCTIC LLC</t>
  </si>
  <si>
    <t>E/1833</t>
  </si>
  <si>
    <t>SEA WIND TRADE LLC</t>
  </si>
  <si>
    <t>E/1842</t>
  </si>
  <si>
    <t>QINGDAO OCEAN PREMIER SEAFOOD CO.LTD</t>
  </si>
  <si>
    <t>E/1852</t>
  </si>
  <si>
    <t>MARINE - IMPORT LTD</t>
  </si>
  <si>
    <t>E/1884</t>
  </si>
  <si>
    <t>SNOEK WHOLESALERS</t>
  </si>
  <si>
    <t>E/1889</t>
  </si>
  <si>
    <t>DELFORG KFT</t>
  </si>
  <si>
    <t>E/1905</t>
  </si>
  <si>
    <t>GARPUN CO. LTD</t>
  </si>
  <si>
    <t>E/1925</t>
  </si>
  <si>
    <t>HAWKER BUSINESS PARTNERS LLC.</t>
  </si>
  <si>
    <t>E/0024</t>
  </si>
  <si>
    <t>POLAR FOODS LIMITED</t>
  </si>
  <si>
    <t>E/0025</t>
  </si>
  <si>
    <t>MILEGATE LIMITED</t>
  </si>
  <si>
    <t>E/0026</t>
  </si>
  <si>
    <t>DENER OVERSEAS LTD</t>
  </si>
  <si>
    <t>E/0027</t>
  </si>
  <si>
    <t>J. VICKERSTAFF &amp; CO. LTD</t>
  </si>
  <si>
    <t>E/0029</t>
  </si>
  <si>
    <t>YEA SHUEN TRADING LTD</t>
  </si>
  <si>
    <t>E/0034</t>
  </si>
  <si>
    <t>Panapesca Spa</t>
  </si>
  <si>
    <t>E/0035</t>
  </si>
  <si>
    <t>MESNA INDUSTRIJA BRACA PIVAC D.O.O</t>
  </si>
  <si>
    <t>E/0036</t>
  </si>
  <si>
    <t>BEIMEX LTD</t>
  </si>
  <si>
    <t>E/0037</t>
  </si>
  <si>
    <t>DELFIN LTD</t>
  </si>
  <si>
    <t>E/0038</t>
  </si>
  <si>
    <t>AUSTRALIAN LONGLINE PTY LTD</t>
  </si>
  <si>
    <t>E/0039</t>
  </si>
  <si>
    <t>EXPORT PACKERS COMPANY LIMITED</t>
  </si>
  <si>
    <t>E/0040</t>
  </si>
  <si>
    <t>S.I.C.A S.R.L</t>
  </si>
  <si>
    <t>E/0041</t>
  </si>
  <si>
    <t>TRANSOCEAN MARINE CO., LTD</t>
  </si>
  <si>
    <t>E/0042</t>
  </si>
  <si>
    <t>KIMBEX, S.R.O</t>
  </si>
  <si>
    <t>E/0043</t>
  </si>
  <si>
    <t>ANDURONDA IMPORT GMBH</t>
  </si>
  <si>
    <t>E/0044</t>
  </si>
  <si>
    <t>ASCA SPA</t>
  </si>
  <si>
    <t>E/0047</t>
  </si>
  <si>
    <t>I &amp; S LANARAS BROS ABEE</t>
  </si>
  <si>
    <t>E/0048</t>
  </si>
  <si>
    <t>G. KALLIMANIS S.A. *</t>
  </si>
  <si>
    <t>E/0049</t>
  </si>
  <si>
    <t>BEBETO S.A.</t>
  </si>
  <si>
    <t>E/0050</t>
  </si>
  <si>
    <t>KALIPESCA INDUSTRIAL LTDA</t>
  </si>
  <si>
    <t>E/0051</t>
  </si>
  <si>
    <t>PESCAMOZ LTDA</t>
  </si>
  <si>
    <t>E/0052</t>
  </si>
  <si>
    <t>NAVIERA MEXICANA SAN BERNARDO S.A. DE C.V.</t>
  </si>
  <si>
    <t>E/0053</t>
  </si>
  <si>
    <t>PESCA AZUL S.A. DE C.V.</t>
  </si>
  <si>
    <t>E/0066</t>
  </si>
  <si>
    <t>MANSHIP TRADING</t>
  </si>
  <si>
    <t>E/0069</t>
  </si>
  <si>
    <t>HANWA CANADA CORP</t>
  </si>
  <si>
    <t>E/0070</t>
  </si>
  <si>
    <t>QUIN SEA FISHERIES</t>
  </si>
  <si>
    <t>E/0077</t>
  </si>
  <si>
    <t>YUAN MEI SEAFOOD CO., LTD.</t>
  </si>
  <si>
    <t>E/0079</t>
  </si>
  <si>
    <t>I&amp;S SKLAVENITIS S.A.</t>
  </si>
  <si>
    <t>E/0087</t>
  </si>
  <si>
    <t>BODO FOOD SERVICE CO., LTD</t>
  </si>
  <si>
    <t>E/0088</t>
  </si>
  <si>
    <t>GSA TRADERS</t>
  </si>
  <si>
    <t>E/0089</t>
  </si>
  <si>
    <t>HAMPEX LTD</t>
  </si>
  <si>
    <t>E/0096</t>
  </si>
  <si>
    <t>G.T. SHIVUK BEN BAKAR LTD.</t>
  </si>
  <si>
    <t>E/0099</t>
  </si>
  <si>
    <t>NEW FOOD SRL</t>
  </si>
  <si>
    <t>E/0105</t>
  </si>
  <si>
    <t>SEASTAR S.F. INC</t>
  </si>
  <si>
    <t>E/0115</t>
  </si>
  <si>
    <t>KUHNE + HEITZ UK LTD</t>
  </si>
  <si>
    <t>E/0119</t>
  </si>
  <si>
    <t>VOOT BEITA LTD</t>
  </si>
  <si>
    <t>E/0125</t>
  </si>
  <si>
    <t>LEDO PLUS D.O.O.</t>
  </si>
  <si>
    <t>E/0126</t>
  </si>
  <si>
    <t>TRUST - IMPORTACAO E EXPORTACAO EIRELI</t>
  </si>
  <si>
    <t>E/0128</t>
  </si>
  <si>
    <t>NAUTILIUS S.A.</t>
  </si>
  <si>
    <t>E/0130</t>
  </si>
  <si>
    <t>FROZEN PRODUCTS CORPORATION S.A.C.</t>
  </si>
  <si>
    <t>E/0136</t>
  </si>
  <si>
    <t>AGAP INTERNATIONAL SARL</t>
  </si>
  <si>
    <t>E/0138</t>
  </si>
  <si>
    <t>SARL AGRODYF</t>
  </si>
  <si>
    <t>E/0147</t>
  </si>
  <si>
    <t>FOOD TRADE LLC</t>
  </si>
  <si>
    <t>E/0148</t>
  </si>
  <si>
    <t>NUSTYLE CO.</t>
  </si>
  <si>
    <t>E/0151</t>
  </si>
  <si>
    <t>HAESUNG S.F. CO., LTD</t>
  </si>
  <si>
    <t>E/0152</t>
  </si>
  <si>
    <t>AMAZING GRACE TRADING LTD</t>
  </si>
  <si>
    <t>E/0158</t>
  </si>
  <si>
    <t>CONGELADOS VIDEMAR SL</t>
  </si>
  <si>
    <t>E/0172</t>
  </si>
  <si>
    <t>ISOLA CO. LTD.</t>
  </si>
  <si>
    <t>E/0178</t>
  </si>
  <si>
    <t>JAAD TRADING CO. LTD</t>
  </si>
  <si>
    <t>E/0181</t>
  </si>
  <si>
    <t>CITY RIGHT TRADE LTD</t>
  </si>
  <si>
    <t>E/0187</t>
  </si>
  <si>
    <t>PEAK ONE INT L CORP.</t>
  </si>
  <si>
    <t>E/0191</t>
  </si>
  <si>
    <t>CASTELMAR SP ZO.O.</t>
  </si>
  <si>
    <t>E/0199</t>
  </si>
  <si>
    <t>AL KOM - EOOD</t>
  </si>
  <si>
    <t>E/0211</t>
  </si>
  <si>
    <t>HANWA CO., LTD</t>
  </si>
  <si>
    <t>E/0212</t>
  </si>
  <si>
    <t>Bom Peixe Industria e Comercio Ltda.</t>
  </si>
  <si>
    <t>E/0213</t>
  </si>
  <si>
    <t>MARE FOODS SP.ZOO</t>
  </si>
  <si>
    <t>E/0214</t>
  </si>
  <si>
    <t>ABRAMCZYK LTD</t>
  </si>
  <si>
    <t>E/0215</t>
  </si>
  <si>
    <t>TORQUATO PONTES PESCADOS S.A.</t>
  </si>
  <si>
    <t>E/0216</t>
  </si>
  <si>
    <t>POLSEAFOOD SPOLKA Z OGRANICZONA ODPOWIEDZIALNOSCIA SP. K.</t>
  </si>
  <si>
    <t>E/0217</t>
  </si>
  <si>
    <t>LI CHUAN FOOD PRODUCTS (VIETNAM) CO., LTD</t>
  </si>
  <si>
    <t>E/0218</t>
  </si>
  <si>
    <t>CIPA SAS</t>
  </si>
  <si>
    <t>E/0219</t>
  </si>
  <si>
    <t>FISHING RESOURCES CORP-</t>
  </si>
  <si>
    <t>E/0220</t>
  </si>
  <si>
    <t>SO PESCA INDUSTRIA E COMERCIO DE PEIXES LIMITADA EPP</t>
  </si>
  <si>
    <t>E/0221</t>
  </si>
  <si>
    <t>NATAL PESCA LTDA</t>
  </si>
  <si>
    <t>E/0222</t>
  </si>
  <si>
    <t>ONGKORN COLD STORAGE CO., LTD</t>
  </si>
  <si>
    <t>E/0223</t>
  </si>
  <si>
    <t>SHIPCHANDLER LI WAY  YEUNG</t>
  </si>
  <si>
    <t>E/0224</t>
  </si>
  <si>
    <t>SEAMOR INTERNATIONAL LTD</t>
  </si>
  <si>
    <t>E/0225</t>
  </si>
  <si>
    <t>CONG TY TNHH CAU VANG</t>
  </si>
  <si>
    <t>E/0226</t>
  </si>
  <si>
    <t>ANH MINH FISHERIES JOINT STOCK COMPANY</t>
  </si>
  <si>
    <t>E/0229</t>
  </si>
  <si>
    <t>TAIWAN LOGISTICS CO. LTD</t>
  </si>
  <si>
    <t>E/0230</t>
  </si>
  <si>
    <t>TRIMARAN SP. Z.O.O S.J.</t>
  </si>
  <si>
    <t>E/0231</t>
  </si>
  <si>
    <t>OAO BELRYBA</t>
  </si>
  <si>
    <t>E/0233</t>
  </si>
  <si>
    <t>LOVOPROMET D.O.O-</t>
  </si>
  <si>
    <t>E/0237</t>
  </si>
  <si>
    <t>HAESUNG NET CO., LTD</t>
  </si>
  <si>
    <t>E/0238</t>
  </si>
  <si>
    <t>DNHS PUZIA KONAREWSKI  SP.K</t>
  </si>
  <si>
    <t>E/0241</t>
  </si>
  <si>
    <t>Friedrich  Wilhelm Lubbert GmbH &amp; Co.Kg.</t>
  </si>
  <si>
    <t>E/0242</t>
  </si>
  <si>
    <t>KAMAL &amp; SONS UK LIMITED</t>
  </si>
  <si>
    <t>E/0247</t>
  </si>
  <si>
    <t>FUZHOU JUMIN TRADe CO., LTD</t>
  </si>
  <si>
    <t>E/0249</t>
  </si>
  <si>
    <t>LUX FISH SPOLKA Z.O.O</t>
  </si>
  <si>
    <t>E/0256</t>
  </si>
  <si>
    <t>ISRAEL FELDMAN IMPORT AND MARKETING LTD</t>
  </si>
  <si>
    <t>E/0257</t>
  </si>
  <si>
    <t>FUJIAN DEYUANHE INTERNATIONAL TRADE CO., LTD</t>
  </si>
  <si>
    <t>E/0258</t>
  </si>
  <si>
    <t>COVENTRY SEAFOODS (AUS) PTY LTD</t>
  </si>
  <si>
    <t>E/0269</t>
  </si>
  <si>
    <t>JOHNSON SEAFOOD CO., LTD</t>
  </si>
  <si>
    <t>E/0271</t>
  </si>
  <si>
    <t>Iglu Comercial Iimportadora LTDA</t>
  </si>
  <si>
    <t>E/0277</t>
  </si>
  <si>
    <t>LLC ALBACOR</t>
  </si>
  <si>
    <t>E/0287</t>
  </si>
  <si>
    <t>RJP AMIGOS HEZ SL</t>
  </si>
  <si>
    <t>E/0296</t>
  </si>
  <si>
    <t>GLOBAL FOODS SOLUTIONS CORP.</t>
  </si>
  <si>
    <t>E/0308</t>
  </si>
  <si>
    <t>OOO "NORD WEST FISH"</t>
  </si>
  <si>
    <t>E/0310</t>
  </si>
  <si>
    <t>HAIM PASKOVICH AND SONS LTD.</t>
  </si>
  <si>
    <t>E/0311</t>
  </si>
  <si>
    <t>E/0315</t>
  </si>
  <si>
    <t>Frigorifico Jahu Ltda.</t>
  </si>
  <si>
    <t>E/0316</t>
  </si>
  <si>
    <t>TRITON POLAND SP. Z.O.O</t>
  </si>
  <si>
    <t>E/0319</t>
  </si>
  <si>
    <t>ICHIBAN PACIFIC (H.K.) LTD.</t>
  </si>
  <si>
    <t>E/0321</t>
  </si>
  <si>
    <t>MARDARES S.A.</t>
  </si>
  <si>
    <t>E/0325</t>
  </si>
  <si>
    <t>SEAWAY CO. LTD</t>
  </si>
  <si>
    <t>E/0333</t>
  </si>
  <si>
    <t>FRIGORIFICOS DEL TUY S.L.</t>
  </si>
  <si>
    <t>E/0336</t>
  </si>
  <si>
    <t>PARTNERS NETWORK WEST EUROPE BV</t>
  </si>
  <si>
    <t>E/0339</t>
  </si>
  <si>
    <t>VINALINES LOGISTICS VIETNAM JSC.</t>
  </si>
  <si>
    <t>E/0349</t>
  </si>
  <si>
    <t>BOONSIRI FROZEN PRODUCTS., CO, LTD</t>
  </si>
  <si>
    <t>E/0350</t>
  </si>
  <si>
    <t>Villebay S.A</t>
  </si>
  <si>
    <t>E/0351</t>
  </si>
  <si>
    <t>PESCIRO SLU</t>
  </si>
  <si>
    <t>E/0352</t>
  </si>
  <si>
    <t>FANDICOSTA S.A.</t>
  </si>
  <si>
    <t>E/0353</t>
  </si>
  <si>
    <t>SAFRICOPE S.A.U.</t>
  </si>
  <si>
    <t>E/0354</t>
  </si>
  <si>
    <t>MARFRÍO S.A.</t>
  </si>
  <si>
    <t>E/0355</t>
  </si>
  <si>
    <t>ICELANDIC FREEZING PLANTS IBERICA, S.A.</t>
  </si>
  <si>
    <t>E/0356</t>
  </si>
  <si>
    <t>PALANGREROS ESPAÑOLES S.L.</t>
  </si>
  <si>
    <t>E/0357</t>
  </si>
  <si>
    <t>ALIMENTOS FRIORIZADOS, S.A.U</t>
  </si>
  <si>
    <t>E/0358</t>
  </si>
  <si>
    <t>ANGEL LOPEZ SOTO S.L</t>
  </si>
  <si>
    <t>E/0359</t>
  </si>
  <si>
    <t>GRUPO PROFAND, SL</t>
  </si>
  <si>
    <t>E/0360</t>
  </si>
  <si>
    <t>EUROPACIFICO ALIMENTOS DEL MAR S.L</t>
  </si>
  <si>
    <t>E/0361</t>
  </si>
  <si>
    <t>ROWEDER &amp; ANTONIO LTDA</t>
  </si>
  <si>
    <t>E/0362</t>
  </si>
  <si>
    <t>CABO VIRGENES ESPAÑA S.L.</t>
  </si>
  <si>
    <t>E/0363</t>
  </si>
  <si>
    <t>EDUARDO VIEIRA S.A.</t>
  </si>
  <si>
    <t>E/0364</t>
  </si>
  <si>
    <t>GUDE GONZALEZ HNOS S.C.</t>
  </si>
  <si>
    <t>E/0365</t>
  </si>
  <si>
    <t>GLP GLOBAL CO., LTD</t>
  </si>
  <si>
    <t>E/0369</t>
  </si>
  <si>
    <t>MARUHA NICHIRO CORPORATION</t>
  </si>
  <si>
    <t>E/0370</t>
  </si>
  <si>
    <t>GUANGZHOU YIXIN IMPORT &amp; EXPORT TRADING CO., LTD</t>
  </si>
  <si>
    <t>E/0371</t>
  </si>
  <si>
    <t>QUALITY PRODUCTS (H.K) LTD</t>
  </si>
  <si>
    <t>E/0372</t>
  </si>
  <si>
    <t>CHINA NATIONAL TOWNSHIP ENTERPRISES CORPORATION</t>
  </si>
  <si>
    <t>E/0373</t>
  </si>
  <si>
    <t>RIZHAO JIAYUAN FOODSTUFF CO., LTD</t>
  </si>
  <si>
    <t>E/0374</t>
  </si>
  <si>
    <t>TRANG SEAFOOD PRODUCTS PUBLIC CO., LTD</t>
  </si>
  <si>
    <t>E/0375</t>
  </si>
  <si>
    <t>FUJIAN HUAMAO IMPORT AND EXPORT CO., LTD</t>
  </si>
  <si>
    <t>E/0376</t>
  </si>
  <si>
    <t>BLUE STAR INTERNATIONAL CO., LTD- NINGBO</t>
  </si>
  <si>
    <t>E/0377</t>
  </si>
  <si>
    <t>XIAMEN C AND D COMMODITY TRADING CO LTD</t>
  </si>
  <si>
    <t>E/0378</t>
  </si>
  <si>
    <t>HANGZHOU C.Y. TRADING COMPANY</t>
  </si>
  <si>
    <t>E/0379</t>
  </si>
  <si>
    <t>QINGDAO SANSHELL IMP. &amp; EXP. CO.LTD</t>
  </si>
  <si>
    <t>E/0380</t>
  </si>
  <si>
    <t>FUJIAN SUNSHINE GROUP XIAMEN IMPORT AND EXPORT CO., LTD</t>
  </si>
  <si>
    <t>E/0390</t>
  </si>
  <si>
    <t>MARFREEZE TRADING GROUP S.L</t>
  </si>
  <si>
    <t>E/0395</t>
  </si>
  <si>
    <t>CHINA BASE COMMERCIAL &amp; TRADING (ZHEJIANG) CO. LTD</t>
  </si>
  <si>
    <t>E/0399</t>
  </si>
  <si>
    <t>YUYAO LIANHAI INDUSTRY CO., LTD</t>
  </si>
  <si>
    <t>E/0413</t>
  </si>
  <si>
    <t>PLATOS PREPARADOS PESCASANA S.L.</t>
  </si>
  <si>
    <t>E/0414</t>
  </si>
  <si>
    <t>POLISH SEAFROZEN FOOD SPOLKA Z.O.O.</t>
  </si>
  <si>
    <t>E/0416</t>
  </si>
  <si>
    <t>EL GRAN LANGOSTINO S.A.S.</t>
  </si>
  <si>
    <t>E/0422</t>
  </si>
  <si>
    <t>MERLOG FOODS PTY LTD</t>
  </si>
  <si>
    <t>E/0444</t>
  </si>
  <si>
    <t>SOJITZ (HONG KONG) LIMITED</t>
  </si>
  <si>
    <t>E/0445</t>
  </si>
  <si>
    <t>SARL RAHMA MEAT IMPORT EXPORT</t>
  </si>
  <si>
    <t>E/0451</t>
  </si>
  <si>
    <t>NEWFISH S.L.</t>
  </si>
  <si>
    <t>E/0452</t>
  </si>
  <si>
    <t>SIAM GOLDEN MARKETING &amp; AGENCY CO., LTD</t>
  </si>
  <si>
    <t>E/0455</t>
  </si>
  <si>
    <t>GURSOY &amp; SONS LTD</t>
  </si>
  <si>
    <t>E/0458</t>
  </si>
  <si>
    <t>OOO "ULTRA FISH"</t>
  </si>
  <si>
    <t>E/0465</t>
  </si>
  <si>
    <t>FUZHOU JINGWEIDU IMPORT &amp; EXPORT TRADING CO., LTD-</t>
  </si>
  <si>
    <t>E/0470</t>
  </si>
  <si>
    <t>MOSCUZZA VINCENZO E.C. SRL</t>
  </si>
  <si>
    <t>E/0472</t>
  </si>
  <si>
    <t>IBERICA DE CONGELADOS S.A.U.</t>
  </si>
  <si>
    <t>E/0482</t>
  </si>
  <si>
    <t>AFANA SONS CO.</t>
  </si>
  <si>
    <t>E/0483</t>
  </si>
  <si>
    <t>Kampomarino comercial importadora Ltda</t>
  </si>
  <si>
    <t>E/0486</t>
  </si>
  <si>
    <t>GOLTRADE LTD.</t>
  </si>
  <si>
    <t>E/0488</t>
  </si>
  <si>
    <t>PESCARADE, SOCIEDADE DE PESCA DO ARADE, SA</t>
  </si>
  <si>
    <t>E/0489</t>
  </si>
  <si>
    <t>BAILI INTERNATIONAL CO., LTD</t>
  </si>
  <si>
    <t>E/0511</t>
  </si>
  <si>
    <t>SEA FISH SPA</t>
  </si>
  <si>
    <t>E/0512</t>
  </si>
  <si>
    <t>SUNKFA INTERNATIONAL FOOD (BEIJING) CO. LTD</t>
  </si>
  <si>
    <t>E/0521</t>
  </si>
  <si>
    <t>ARTEMIS DOO</t>
  </si>
  <si>
    <t>E/0522</t>
  </si>
  <si>
    <t>QUINTA FRIO (INT) LDA</t>
  </si>
  <si>
    <t>E/0524</t>
  </si>
  <si>
    <t>LIDERFIL GROUP</t>
  </si>
  <si>
    <t>E/0532</t>
  </si>
  <si>
    <t>ALIMENTOS BALANCEADOS SLU</t>
  </si>
  <si>
    <t>E/0535</t>
  </si>
  <si>
    <t>Salas Zivis</t>
  </si>
  <si>
    <t>E/0538</t>
  </si>
  <si>
    <t>SOLUCIONES CONJUNTAS DE ALIMENTACION S.L.</t>
  </si>
  <si>
    <t>E/0544</t>
  </si>
  <si>
    <t>QIGAO INTERNATIONAL LIMITED</t>
  </si>
  <si>
    <t>E/0551</t>
  </si>
  <si>
    <t>MANFIMEX IMPORTACAO E EXPORTACAO LTDA</t>
  </si>
  <si>
    <t>E/0552</t>
  </si>
  <si>
    <t>LEV - YAM FISH MARKETING LTD</t>
  </si>
  <si>
    <t>E/0555</t>
  </si>
  <si>
    <t>WAM BRASIL COMERCIO INVESTIMENTOS E CONSULTORIA LTDA</t>
  </si>
  <si>
    <t>E/0569</t>
  </si>
  <si>
    <t>GLORY OCEAN SEAFOOD CO., LTD</t>
  </si>
  <si>
    <t>E/0578</t>
  </si>
  <si>
    <t>ANTARES LATGALE SIA</t>
  </si>
  <si>
    <t>E/0582</t>
  </si>
  <si>
    <t>OCEAN PLUS FOOD TRADING CO., LIMITED</t>
  </si>
  <si>
    <t>E/0584</t>
  </si>
  <si>
    <t>SARL BIBAN MEAT</t>
  </si>
  <si>
    <t>E/0586</t>
  </si>
  <si>
    <t>ZHEJIANG OCEAN FAMILY CO., LTD</t>
  </si>
  <si>
    <t>E/0588</t>
  </si>
  <si>
    <t>VESTEY FOODS INTERNATIONAL LTD</t>
  </si>
  <si>
    <t>E/0600</t>
  </si>
  <si>
    <t>Marr SPA</t>
  </si>
  <si>
    <t>E/0601</t>
  </si>
  <si>
    <t>ARBI DARIO SPA</t>
  </si>
  <si>
    <t>E/0602</t>
  </si>
  <si>
    <t>GRAMELLINI FILLI SPA</t>
  </si>
  <si>
    <t>E/0603</t>
  </si>
  <si>
    <t>CAMPANIA GROUP SPA</t>
  </si>
  <si>
    <t>E/0610</t>
  </si>
  <si>
    <t>ZOMNAY S.A.</t>
  </si>
  <si>
    <t>E/0611</t>
  </si>
  <si>
    <t>BLUE SNOW EUROPE S.R.L.</t>
  </si>
  <si>
    <t>E/0613</t>
  </si>
  <si>
    <t>COMAVICOLA SPA</t>
  </si>
  <si>
    <t>E/0620</t>
  </si>
  <si>
    <t>GLOBAL TUNA INTL SLU</t>
  </si>
  <si>
    <t>E/0621</t>
  </si>
  <si>
    <t>F.LLI CONTORNO INDUSTRIA CONSERVE A</t>
  </si>
  <si>
    <t>E/0628</t>
  </si>
  <si>
    <t>FRIJOBEL INDUSTRIA E COMERCIO AL</t>
  </si>
  <si>
    <t>E/0631</t>
  </si>
  <si>
    <t>NORDIC SEAFOOD FRANCE SAS</t>
  </si>
  <si>
    <t>E/0635</t>
  </si>
  <si>
    <t>FISH´S  KING S.P.A</t>
  </si>
  <si>
    <t>E/0637</t>
  </si>
  <si>
    <t>MAMA FISH SRL UNIPERSONALE</t>
  </si>
  <si>
    <t>E/0638</t>
  </si>
  <si>
    <t>SVELIG SRL</t>
  </si>
  <si>
    <t>E/0643</t>
  </si>
  <si>
    <t>KALLAS INCORPORATION S.A.</t>
  </si>
  <si>
    <t>E/0645</t>
  </si>
  <si>
    <t>MAMMUT ALIMENTARI</t>
  </si>
  <si>
    <t>E/0649</t>
  </si>
  <si>
    <t>PSE "LOTOS"</t>
  </si>
  <si>
    <t>E/0652</t>
  </si>
  <si>
    <t>SHANDONG OCEAN INTERNATIONAL CO., LTD</t>
  </si>
  <si>
    <t>E/0656</t>
  </si>
  <si>
    <t>SOUTHEAGLE LLC</t>
  </si>
  <si>
    <t>E/0658</t>
  </si>
  <si>
    <t>CHINA SDIC INTERNATIONAL TRADE CO., LTD.</t>
  </si>
  <si>
    <t>E/0659</t>
  </si>
  <si>
    <t>LTD "FISH"</t>
  </si>
  <si>
    <t>E/0661</t>
  </si>
  <si>
    <t>UAB SANTA TRADE</t>
  </si>
  <si>
    <t>E/0662</t>
  </si>
  <si>
    <t>MAR IBERICA SOCIEDADE DE PRODUTOS ALIMENTARES SA</t>
  </si>
  <si>
    <t>E/0665</t>
  </si>
  <si>
    <t>GOLDEN OCEAN FOOD CO., LTD</t>
  </si>
  <si>
    <t>E/0667</t>
  </si>
  <si>
    <t>UAB BIDFOOD LIETUVA</t>
  </si>
  <si>
    <t>E/0669</t>
  </si>
  <si>
    <t>LLC  PELICAN</t>
  </si>
  <si>
    <t>E/0673</t>
  </si>
  <si>
    <t>DALIAN DONGLIN FOOD CO., LTD</t>
  </si>
  <si>
    <t>E/0674</t>
  </si>
  <si>
    <t>DALMORS GRUP S.R.L.</t>
  </si>
  <si>
    <t>E/0678</t>
  </si>
  <si>
    <t>CONGELADOS SARIEGO S.L.</t>
  </si>
  <si>
    <t>E/0682</t>
  </si>
  <si>
    <t>XIAMEN SEASHINE AQUATIC PRODUCT GROUP CO., LTD</t>
  </si>
  <si>
    <t>E/0689</t>
  </si>
  <si>
    <t>E/0691</t>
  </si>
  <si>
    <t>B.H. IDEA SP. Z.O.O.</t>
  </si>
  <si>
    <t>E/0694</t>
  </si>
  <si>
    <t>LUCKYFISH LLC</t>
  </si>
  <si>
    <t>E/0697</t>
  </si>
  <si>
    <t>ILIOPESCA SRL</t>
  </si>
  <si>
    <t>E/0699</t>
  </si>
  <si>
    <t>MEDITERRANEA PESCA SPA</t>
  </si>
  <si>
    <t>E/0714</t>
  </si>
  <si>
    <t>NORD CAPITAL SP.  Z.O.O.</t>
  </si>
  <si>
    <t>E/0732</t>
  </si>
  <si>
    <t>FUZHOU QIYI IMPORT &amp; EXPORT TRADE CO., LTD-</t>
  </si>
  <si>
    <t>E/0734</t>
  </si>
  <si>
    <t>A.A. COUTO</t>
  </si>
  <si>
    <t>E/0737</t>
  </si>
  <si>
    <t>RIZHAO MEILENG FOOD TRADING CO., LTD</t>
  </si>
  <si>
    <t>E/0743</t>
  </si>
  <si>
    <t>ET RAN (1996) LTD</t>
  </si>
  <si>
    <t>E/0748</t>
  </si>
  <si>
    <t>RIZHAO MEIJIA AQUATIC FOODSTUFF CO., LTD</t>
  </si>
  <si>
    <t>E/0749</t>
  </si>
  <si>
    <t>TRADEM LTDA</t>
  </si>
  <si>
    <t>E/0751</t>
  </si>
  <si>
    <t>RONGCHENG RONGKANG FOODS CO., LTD</t>
  </si>
  <si>
    <t>E/0752</t>
  </si>
  <si>
    <t>IMPEXRYB HALINA KORKUC, SP.</t>
  </si>
  <si>
    <t>E/0753</t>
  </si>
  <si>
    <t>IRIS ASSETS LIMITED</t>
  </si>
  <si>
    <t>E/0756</t>
  </si>
  <si>
    <t>LLC NELMA</t>
  </si>
  <si>
    <t>E/0758</t>
  </si>
  <si>
    <t>MATSUOKA CO., LTD.</t>
  </si>
  <si>
    <t>E/0764</t>
  </si>
  <si>
    <t>DOMSTEIN FISH AS</t>
  </si>
  <si>
    <t>E/0765</t>
  </si>
  <si>
    <t>Leardini Pescado LTDA.</t>
  </si>
  <si>
    <t>E/0770</t>
  </si>
  <si>
    <t>FUZHOU OCEANNOVA SEAFOOD CO., LTD.</t>
  </si>
  <si>
    <t>E/0772</t>
  </si>
  <si>
    <t>CABOMAR CONGELADOS, S.A.U.</t>
  </si>
  <si>
    <t>E/0774</t>
  </si>
  <si>
    <t>PARKER MIGLIORINI INTERNATIONAL DO BRASIL LTDA</t>
  </si>
  <si>
    <t>E/0775</t>
  </si>
  <si>
    <t>SEABLUE SAS</t>
  </si>
  <si>
    <t>E/0777</t>
  </si>
  <si>
    <t>MAGNUS CAPITAL LIMITED PARTNERSHIP</t>
  </si>
  <si>
    <t>E/0778</t>
  </si>
  <si>
    <t>ZHEJIANG DALING SEAFOOD CO., LTD</t>
  </si>
  <si>
    <t>E/0779</t>
  </si>
  <si>
    <t>SEAMART INTERNATIONAL FOOD (BEIJING) CO., LTD</t>
  </si>
  <si>
    <t>E/0781</t>
  </si>
  <si>
    <t>YEN  AND FRIENDS ENTERPRISE CO., LTD</t>
  </si>
  <si>
    <t>E/0785</t>
  </si>
  <si>
    <t>SEA UNION CORPORATION</t>
  </si>
  <si>
    <t>E/0787</t>
  </si>
  <si>
    <t>G- OFER MEAT PRODUCTION AND MARKETING LTD</t>
  </si>
  <si>
    <t>E/0788</t>
  </si>
  <si>
    <t>NORIBERICA</t>
  </si>
  <si>
    <t>E/0790</t>
  </si>
  <si>
    <t>NORDSEE COMERCIAL IMPORTADORA E EXPORTADORA LTDA.</t>
  </si>
  <si>
    <t>E/0792</t>
  </si>
  <si>
    <t>MARINAR COMERT S.R.L.</t>
  </si>
  <si>
    <t>E/0795</t>
  </si>
  <si>
    <t>U HUNG TRADING CO., LTD</t>
  </si>
  <si>
    <t>E/0797</t>
  </si>
  <si>
    <t>ANDRESEN TRADING GMBH &amp; CO.KG</t>
  </si>
  <si>
    <t>E/0799</t>
  </si>
  <si>
    <t>KALLAS PAPADOPOULOS SA</t>
  </si>
  <si>
    <t>E/0804</t>
  </si>
  <si>
    <t>DECA 1285 S.L.</t>
  </si>
  <si>
    <t>E/0808</t>
  </si>
  <si>
    <t>UNIFOOD G. FALKOWSKA SP. J</t>
  </si>
  <si>
    <t>E/0811</t>
  </si>
  <si>
    <t>Pesqueria Pioneira Da Costa Ltda.</t>
  </si>
  <si>
    <t>E/0813</t>
  </si>
  <si>
    <t>MASCATO SA</t>
  </si>
  <si>
    <t>E/0819</t>
  </si>
  <si>
    <t>PESCARA IMPORTADORA E EXPORTADORA LTDA</t>
  </si>
  <si>
    <t>E/0820</t>
  </si>
  <si>
    <t>NUTRIFRIOS COMERCIAL DE ALIMENTOS LTDA</t>
  </si>
  <si>
    <t>E/0821</t>
  </si>
  <si>
    <t>TRANSMAR CAPTURA IND. E COM DE PESCADOS LTDA</t>
  </si>
  <si>
    <t>E/0822</t>
  </si>
  <si>
    <t>Sul Peixe Comercial E Importadora de Frutos</t>
  </si>
  <si>
    <t>E/0823</t>
  </si>
  <si>
    <t>VITALMAR COMERCIO E INDUSTRIA DE PESCADO LTDA</t>
  </si>
  <si>
    <t>E/0824</t>
  </si>
  <si>
    <t>BELVNESRYBTORG</t>
  </si>
  <si>
    <t>E/0825</t>
  </si>
  <si>
    <t>OESA COMERCIO E REPRESENTACOES S/A</t>
  </si>
  <si>
    <t>E/0829</t>
  </si>
  <si>
    <t>CARDINAL CELYGAR S.A. - NO  USAR -</t>
  </si>
  <si>
    <t>E/0835</t>
  </si>
  <si>
    <t>SUNGWOO MARINE INC.</t>
  </si>
  <si>
    <t>E/0842</t>
  </si>
  <si>
    <t>BRASMAR. COMERCIO DE ALIMENTARES, SA.</t>
  </si>
  <si>
    <t>E/0846</t>
  </si>
  <si>
    <t>BLG COLDSTORE LOGISTICS GMBH</t>
  </si>
  <si>
    <t>E/0871</t>
  </si>
  <si>
    <t>YEN  AND BROTHERS ENTERPRISE CO., LTD</t>
  </si>
  <si>
    <t>E/0872</t>
  </si>
  <si>
    <t>LEVEL IMPORTACAO, EXPORTACAO E COMERCIO LTDA</t>
  </si>
  <si>
    <t>E/0875</t>
  </si>
  <si>
    <t>MED INT SRL</t>
  </si>
  <si>
    <t>E/0876</t>
  </si>
  <si>
    <t>EMPREENDIMENTO COMERCIAL INDUSTRIAL ECIL LTDA</t>
  </si>
  <si>
    <t>E/0878</t>
  </si>
  <si>
    <t>PRODUMAR- EXPORTADORA DE PRODUTOS DO MAR LTDA</t>
  </si>
  <si>
    <t>E/0879</t>
  </si>
  <si>
    <t>GUSTAVO DE A.M. BURLE</t>
  </si>
  <si>
    <t>E/0881</t>
  </si>
  <si>
    <t>FUFA SEAFOOD TRADING CORP.</t>
  </si>
  <si>
    <t>E/0883</t>
  </si>
  <si>
    <t>TRI OCEAN SEAFOOD CO., LTD</t>
  </si>
  <si>
    <t>E/0885</t>
  </si>
  <si>
    <t>KLION CO., LTD</t>
  </si>
  <si>
    <t>E/0887</t>
  </si>
  <si>
    <t>ARGOSY SEAFOODS CORPORATION</t>
  </si>
  <si>
    <t>E/0888</t>
  </si>
  <si>
    <t>SOUTH MARINE</t>
  </si>
  <si>
    <t>E/0889</t>
  </si>
  <si>
    <t>PRO SEAFOODS CO., LTD.</t>
  </si>
  <si>
    <t>E/0890</t>
  </si>
  <si>
    <t>FAO FISH GROUP CO, LTD.</t>
  </si>
  <si>
    <t>E/0895</t>
  </si>
  <si>
    <t>JP Klausen South America S.A</t>
  </si>
  <si>
    <t>E/0896</t>
  </si>
  <si>
    <t>CLARAFIX S.A.</t>
  </si>
  <si>
    <t>E/0897</t>
  </si>
  <si>
    <t>FRIEDRICH WILHELM LUBBERT GMBH &amp; CO. KG - NO USAR -</t>
  </si>
  <si>
    <t>E/0900</t>
  </si>
  <si>
    <t>COPEMAR, SA</t>
  </si>
  <si>
    <t>E/0901</t>
  </si>
  <si>
    <t>LEQUALITY LIFE CO., LTD</t>
  </si>
  <si>
    <t>E/0902</t>
  </si>
  <si>
    <t>Oceanus Comercio e Transporte Ltda.</t>
  </si>
  <si>
    <t>E/0903</t>
  </si>
  <si>
    <t>E/0906</t>
  </si>
  <si>
    <t>PESQUERA AZIMUT S.L.</t>
  </si>
  <si>
    <t>E/0911</t>
  </si>
  <si>
    <t>Nova Seafood Jankowiak Kibitlewski spólka komandytowa</t>
  </si>
  <si>
    <t>E/0916</t>
  </si>
  <si>
    <t>PESCANOVA ESPAÑA SLU</t>
  </si>
  <si>
    <t>E/0917</t>
  </si>
  <si>
    <t>GOLDEN BR IMPORTADORA E EXPORTADORA LTDA</t>
  </si>
  <si>
    <t>E/0928</t>
  </si>
  <si>
    <t>RUSTAM S.A.</t>
  </si>
  <si>
    <t>E/0929</t>
  </si>
  <si>
    <t>Whitefish S.A</t>
  </si>
  <si>
    <t>E/0930</t>
  </si>
  <si>
    <t>J.P. KLAUSEN CO A/S</t>
  </si>
  <si>
    <t>E/0931</t>
  </si>
  <si>
    <t>SOGENAVE S.A.</t>
  </si>
  <si>
    <t>E/0932</t>
  </si>
  <si>
    <t>GLADESVILLE TRADE S.A.</t>
  </si>
  <si>
    <t>E/0933</t>
  </si>
  <si>
    <t>NORDIC SEAFOOD A/S</t>
  </si>
  <si>
    <t>E/0939</t>
  </si>
  <si>
    <t>JESWORY S.A.</t>
  </si>
  <si>
    <t>E/0940</t>
  </si>
  <si>
    <t>SALMOEXPORT A/S</t>
  </si>
  <si>
    <t>E/0941</t>
  </si>
  <si>
    <t>SEUL TRADING CHILE S.A.C.</t>
  </si>
  <si>
    <t>E/0943</t>
  </si>
  <si>
    <t>Pernambuco Pescados Ltda.</t>
  </si>
  <si>
    <t>E/0945</t>
  </si>
  <si>
    <t>TISFOY S.A.</t>
  </si>
  <si>
    <t>E/0946</t>
  </si>
  <si>
    <t>Commodities Trading Corporation</t>
  </si>
  <si>
    <t>E/0947</t>
  </si>
  <si>
    <t>DUNTOWER CORPORATION LIMITED</t>
  </si>
  <si>
    <t>E/0949</t>
  </si>
  <si>
    <t>AL FALOJA INDUSTRY FOODS STUFF CO.</t>
  </si>
  <si>
    <t>E/0950</t>
  </si>
  <si>
    <t>Pesqueira Do Nordeste LTDA</t>
  </si>
  <si>
    <t>E/0952</t>
  </si>
  <si>
    <t>ROSSET WORLDWIDE INC</t>
  </si>
  <si>
    <t>E/0956</t>
  </si>
  <si>
    <t>BRASIL MUNDI IMPORTACAO E EXPORTACAO LTDA</t>
  </si>
  <si>
    <t>E/0957</t>
  </si>
  <si>
    <t>A.FASOMITAKIS S.A. -ATLANTIKOS- IMPOR-EXPORT COMPANY</t>
  </si>
  <si>
    <t>E/0958</t>
  </si>
  <si>
    <t>Inalca SPA - *NO USAR*</t>
  </si>
  <si>
    <t>E/0959</t>
  </si>
  <si>
    <t>SUSTAINABLE PROTEIN SOLUTIONS</t>
  </si>
  <si>
    <t>E/0960</t>
  </si>
  <si>
    <t>STORM LTD</t>
  </si>
  <si>
    <t>E/0961</t>
  </si>
  <si>
    <t>Marfrig Alimentos SA</t>
  </si>
  <si>
    <t>E/0963</t>
  </si>
  <si>
    <t>JAZEEL TRADING AND CONTRACTING CO.</t>
  </si>
  <si>
    <t>E/0965</t>
  </si>
  <si>
    <t>METAREX SPA</t>
  </si>
  <si>
    <t>E/0967</t>
  </si>
  <si>
    <t>ARGAFISH S.L.</t>
  </si>
  <si>
    <t>E/0968</t>
  </si>
  <si>
    <t>VANPOY S.A.</t>
  </si>
  <si>
    <t>E/0969</t>
  </si>
  <si>
    <t>AFALINA LTD</t>
  </si>
  <si>
    <t>E/0973</t>
  </si>
  <si>
    <t>Horizonte Marino Trading S.A</t>
  </si>
  <si>
    <t>E/0974</t>
  </si>
  <si>
    <t>AGRO RUSANOVSCHII SRL</t>
  </si>
  <si>
    <t>E/0975</t>
  </si>
  <si>
    <t>INDUSTRIAS PESQUERAS VALYMAR S.A.</t>
  </si>
  <si>
    <t>E/0976</t>
  </si>
  <si>
    <t>DELTAGEL - P ALIMENTARES, S.A.</t>
  </si>
  <si>
    <t>E/0977</t>
  </si>
  <si>
    <t>Masterbras 2006 Importacao e Exportacao Ltda.</t>
  </si>
  <si>
    <t>E/0979</t>
  </si>
  <si>
    <t>QINGDAO YIHAIYUAN FOODS CO., LTD</t>
  </si>
  <si>
    <t>E/0987</t>
  </si>
  <si>
    <t> NIPPON SUISAN (SINGAPORE) PTE.LTD</t>
  </si>
  <si>
    <t>E/0988</t>
  </si>
  <si>
    <t>Tesktil Macedonia A.D Skopje</t>
  </si>
  <si>
    <t>E/0989</t>
  </si>
  <si>
    <t>INALCA SPA</t>
  </si>
  <si>
    <t>E/0990</t>
  </si>
  <si>
    <t>PA GROUP SPA</t>
  </si>
  <si>
    <t>E/0991</t>
  </si>
  <si>
    <t>Plena Alimentos LTDA</t>
  </si>
  <si>
    <t>E/0992</t>
  </si>
  <si>
    <t>OOO "MIDEM"</t>
  </si>
  <si>
    <t>E/0994</t>
  </si>
  <si>
    <t>MARINEWORKS LTD</t>
  </si>
  <si>
    <t>E/0995</t>
  </si>
  <si>
    <t>Vitalmar Comercio e industria de pescado Ltda</t>
  </si>
  <si>
    <t>E/0996</t>
  </si>
  <si>
    <t>FILPORT LLC</t>
  </si>
  <si>
    <t>E/1023</t>
  </si>
  <si>
    <t>CAPITAL SEA LLC</t>
  </si>
  <si>
    <t>E/1024</t>
  </si>
  <si>
    <t>GLENN SALES CO</t>
  </si>
  <si>
    <t>E/1025</t>
  </si>
  <si>
    <t>CASA MARINE INC</t>
  </si>
  <si>
    <t>E/1026</t>
  </si>
  <si>
    <t>H&amp;L INTERNATIONAL FOODS, LLC</t>
  </si>
  <si>
    <t>E/1027</t>
  </si>
  <si>
    <t>LLC "RYBANA PARTIYA"</t>
  </si>
  <si>
    <t>E/1028</t>
  </si>
  <si>
    <t>CORPORACION DIMOCA S.A.C.</t>
  </si>
  <si>
    <t>E/1029</t>
  </si>
  <si>
    <t>PEREIRA PRODUCTOS DEL MAR</t>
  </si>
  <si>
    <t>E/1159</t>
  </si>
  <si>
    <t>HANWA AMERICAN CORP</t>
  </si>
  <si>
    <t>E/1212</t>
  </si>
  <si>
    <t>METRO A.D.</t>
  </si>
  <si>
    <t>E/1213</t>
  </si>
  <si>
    <t>KVIBO D.O.O.</t>
  </si>
  <si>
    <t>E/1214</t>
  </si>
  <si>
    <t>BIDVEST LIETUVA UAB</t>
  </si>
  <si>
    <t>E/1215</t>
  </si>
  <si>
    <t>UBP INTERNATIONAL S.A.</t>
  </si>
  <si>
    <t>E/1216</t>
  </si>
  <si>
    <t>BALKO KOMPANY DOOEL</t>
  </si>
  <si>
    <t>E/1217</t>
  </si>
  <si>
    <t>GRAND PARTNER-AS DOO- STRUMICA</t>
  </si>
  <si>
    <t>E/1218</t>
  </si>
  <si>
    <t>SLOGA INTERNATIONAL LTD</t>
  </si>
  <si>
    <t>E/1220</t>
  </si>
  <si>
    <t>ADRIJUS D.O.O</t>
  </si>
  <si>
    <t>E/1221</t>
  </si>
  <si>
    <t>TEKSTIL A.D. SKOPJE</t>
  </si>
  <si>
    <t>E/1224</t>
  </si>
  <si>
    <t>PEKABESKO JSC</t>
  </si>
  <si>
    <t>E/1239</t>
  </si>
  <si>
    <t>SCHOONER CO., LTD.</t>
  </si>
  <si>
    <t>E/1245</t>
  </si>
  <si>
    <t>SARL SETIFIS VIANDES</t>
  </si>
  <si>
    <t>E/1255</t>
  </si>
  <si>
    <t>MAR CO. LTD</t>
  </si>
  <si>
    <t>E/1261</t>
  </si>
  <si>
    <t>THAI SPRING FISH CO., LTD</t>
  </si>
  <si>
    <t>E/1275</t>
  </si>
  <si>
    <t>PARKER MIGLIIORINI FOOD TRADING (SHANGAI) COMPANY, LTD</t>
  </si>
  <si>
    <t>E/1278</t>
  </si>
  <si>
    <t>PARKER MIGLIIORINI INTERNATIONAL GMBH</t>
  </si>
  <si>
    <t>E/1322</t>
  </si>
  <si>
    <t>MASTERFOOD LTD.</t>
  </si>
  <si>
    <t>E/1325</t>
  </si>
  <si>
    <t>OCEANIC CHINA CO, LTD</t>
  </si>
  <si>
    <t>E/1352</t>
  </si>
  <si>
    <t>PREDIMAR  S.A.</t>
  </si>
  <si>
    <t>E/1359</t>
  </si>
  <si>
    <t>LES FRIGORIFIQUES DE TAGHAZOUT</t>
  </si>
  <si>
    <t>E/1374</t>
  </si>
  <si>
    <t>FLAGMAN SEAFOOD LLC</t>
  </si>
  <si>
    <t>E/1422</t>
  </si>
  <si>
    <t>LANDAUER LIMITED</t>
  </si>
  <si>
    <t>E/1473</t>
  </si>
  <si>
    <t>LANZAL PRODUCTOS DEL MAR S.L.</t>
  </si>
  <si>
    <t>E/1477</t>
  </si>
  <si>
    <t>LLC UNIFROST</t>
  </si>
  <si>
    <t>E/1515</t>
  </si>
  <si>
    <t>FUQING FURUN IMP &amp; EXP. TRADING CO., LTD.</t>
  </si>
  <si>
    <t>E/1523</t>
  </si>
  <si>
    <t>EMMEGEL SRL</t>
  </si>
  <si>
    <t>E/1533</t>
  </si>
  <si>
    <t>PROJEKT - MARKET S.R.O.</t>
  </si>
  <si>
    <t>E/1548</t>
  </si>
  <si>
    <t>EXTREMO SUL IMPORTACAO DE ALIMENTOS LTDA.</t>
  </si>
  <si>
    <t>E/1555</t>
  </si>
  <si>
    <t>CASA BOTAS VDA DE J MARTINEZ BLASCO SL</t>
  </si>
  <si>
    <t>E/1556</t>
  </si>
  <si>
    <t>GREAT NORTHERN PRODUCTS LTD.</t>
  </si>
  <si>
    <t>E/1574</t>
  </si>
  <si>
    <t>OOO "SIGMA"</t>
  </si>
  <si>
    <t>E/1609</t>
  </si>
  <si>
    <t>BMT FOOD  &amp; BEVERAGE  S.A.</t>
  </si>
  <si>
    <t>E/1632</t>
  </si>
  <si>
    <t>MARINEWORKS BALKAN D.O.O.</t>
  </si>
  <si>
    <t>E/1648</t>
  </si>
  <si>
    <t>OCEANOS DISTRIBUIDORA S.A.</t>
  </si>
  <si>
    <t>E/1652</t>
  </si>
  <si>
    <t>KLION M S.R.L</t>
  </si>
  <si>
    <t>E/1685</t>
  </si>
  <si>
    <t>SAJO SEAFOOD CO., LTD</t>
  </si>
  <si>
    <t>E/1714</t>
  </si>
  <si>
    <t>CIPA ALGERIE SARL</t>
  </si>
  <si>
    <t>E/1715</t>
  </si>
  <si>
    <t>FUJIAN JIESHUNDA INTERNATIONAL LOGISTICS CO. LTD</t>
  </si>
  <si>
    <t>E/1727</t>
  </si>
  <si>
    <t>SHANGHAI WIN-CHAIN SUPPLY CHAIN MANAGEMENT CO. LTD</t>
  </si>
  <si>
    <t>E/1732</t>
  </si>
  <si>
    <t>YANTAI LEAD FOODS CO., LTD</t>
  </si>
  <si>
    <t>E/1733</t>
  </si>
  <si>
    <t>OOO SEAFOOD LINE</t>
  </si>
  <si>
    <t>E/1734</t>
  </si>
  <si>
    <t>ALIMENTS DEL MAR ULTRACONGELATS SA</t>
  </si>
  <si>
    <t>E/1743</t>
  </si>
  <si>
    <t>IMPERIOUS SHIPPING AND TRADING LLC</t>
  </si>
  <si>
    <t>E/1744</t>
  </si>
  <si>
    <t>LLC INTERGRANT</t>
  </si>
  <si>
    <t>E/1772</t>
  </si>
  <si>
    <t>DALIAN XIRONG GROUP CO., LTD</t>
  </si>
  <si>
    <t>E/1777</t>
  </si>
  <si>
    <t>QUALITY FISH LLC</t>
  </si>
  <si>
    <t>E/1785</t>
  </si>
  <si>
    <t>PACIFIC UNITED INDUSTRIES LTD</t>
  </si>
  <si>
    <t>E/1927</t>
  </si>
  <si>
    <t>PRODWAY INTERNATIONAL</t>
  </si>
  <si>
    <t>E/1935</t>
  </si>
  <si>
    <t>ALTAMAR FOODS CORP</t>
  </si>
  <si>
    <t>E/1945</t>
  </si>
  <si>
    <t>BELUGA CO. LTD</t>
  </si>
  <si>
    <t>E/1952</t>
  </si>
  <si>
    <t>KLION GEORGIA LLC.</t>
  </si>
  <si>
    <t>E/1955</t>
  </si>
  <si>
    <t>DALIAN OCEANSTONE (ZF GROUP) INTERNATIONAL TRADING CO., LTD</t>
  </si>
  <si>
    <t>E/1956</t>
  </si>
  <si>
    <t>QUAN CHUNG ENTERPRISE CO., LTD</t>
  </si>
  <si>
    <t>E/1958</t>
  </si>
  <si>
    <t>DALIAN ZHANGZIDAO CHUO COLD LOGISTICS CO., LTD</t>
  </si>
  <si>
    <t>E/1960</t>
  </si>
  <si>
    <t>OOO "MOREODOR"</t>
  </si>
  <si>
    <t>E/1961</t>
  </si>
  <si>
    <t>ODO VITALUR</t>
  </si>
  <si>
    <t>E/1965</t>
  </si>
  <si>
    <t>LLC LINKOR</t>
  </si>
  <si>
    <t>E/1973</t>
  </si>
  <si>
    <t>IOCEAN LLC</t>
  </si>
  <si>
    <t>E/1984</t>
  </si>
  <si>
    <t>WORLD WIDE FISHING COMPANY, S.L.</t>
  </si>
  <si>
    <t>E/1985</t>
  </si>
  <si>
    <t>LARIDER S.A.</t>
  </si>
  <si>
    <t>E/1986</t>
  </si>
  <si>
    <t>BLUE SNOW FOOD CO., LTD. ZHEJIANG</t>
  </si>
  <si>
    <t>E/1987</t>
  </si>
  <si>
    <t>PACIFIC SUNRISE INTERNATIONAL CORP.</t>
  </si>
  <si>
    <t>E/1990</t>
  </si>
  <si>
    <t>FRUMAR FRUTOS DO MAR LTDA</t>
  </si>
  <si>
    <t>E/1993</t>
  </si>
  <si>
    <t>KYOKUYO CO., LTD.</t>
  </si>
  <si>
    <t>E/1999</t>
  </si>
  <si>
    <t>ALC VITALUR</t>
  </si>
  <si>
    <t>E/2021</t>
  </si>
  <si>
    <t>JSC RUSSIAN FISH COMPANY</t>
  </si>
  <si>
    <t>E/2108</t>
  </si>
  <si>
    <t>CINCOTRADE SPA</t>
  </si>
  <si>
    <t>E/2112</t>
  </si>
  <si>
    <t>DAE YOUN GLOBAL CO. LTD</t>
  </si>
  <si>
    <t>E/2652</t>
  </si>
  <si>
    <t>RONGCHENG YUKAI AQUATIC CO., LTD</t>
  </si>
  <si>
    <t>E/2668</t>
  </si>
  <si>
    <t>S.W. FISH LTD</t>
  </si>
  <si>
    <t>E/2842</t>
  </si>
  <si>
    <t>EMART INC.</t>
  </si>
  <si>
    <t>E/2931</t>
  </si>
  <si>
    <t>SEAFROST SAC</t>
  </si>
  <si>
    <t>E/2950</t>
  </si>
  <si>
    <t>MOREX SP. Z.O.O.</t>
  </si>
  <si>
    <t>E/2956</t>
  </si>
  <si>
    <t>JIANGSU CEREALS, OILS AND FOODSTUFFS IMP. AND EXP. GROUP CORP</t>
  </si>
  <si>
    <t>E/3959</t>
  </si>
  <si>
    <t>KUHNE + HEITZ HOLLAND B.V.</t>
  </si>
  <si>
    <t>E/4019</t>
  </si>
  <si>
    <t>GORDON TRADE AND MANAGEMENT LLP</t>
  </si>
  <si>
    <t>E/4158</t>
  </si>
  <si>
    <t>S.A. COMERCIAL DE PESCADOS Y MARISCOS. PEIXEMAR.</t>
  </si>
  <si>
    <t>E/4231</t>
  </si>
  <si>
    <t>PRODUCTOS CONGELADOS S.A.</t>
  </si>
  <si>
    <t>E/4245</t>
  </si>
  <si>
    <t>SIAM CANADIAN (ASIA) LIMITED</t>
  </si>
  <si>
    <t>E/4500</t>
  </si>
  <si>
    <t>MEDYAR CORPORATION</t>
  </si>
  <si>
    <t>E/4560</t>
  </si>
  <si>
    <t>NIBIRU LLC</t>
  </si>
  <si>
    <t>E/4599</t>
  </si>
  <si>
    <t>SOUTH MARINE TRADING LLC</t>
  </si>
  <si>
    <t>E/5284</t>
  </si>
  <si>
    <t>FUNG YUEN UNIVERSAL FOOD LIMITED</t>
  </si>
  <si>
    <t>E/5412</t>
  </si>
  <si>
    <t>SARL BIBANS MEAT</t>
  </si>
  <si>
    <t>E/5432</t>
  </si>
  <si>
    <t>SARL BAHIA PECHE</t>
  </si>
  <si>
    <t>E/552</t>
  </si>
  <si>
    <t>OKEANOV LLC</t>
  </si>
  <si>
    <t>E/5931</t>
  </si>
  <si>
    <t>TAGHAZOUT FISHING PRODUCT</t>
  </si>
  <si>
    <t>E/6807</t>
  </si>
  <si>
    <t>DAMACO FOODS FZE</t>
  </si>
  <si>
    <t>E/7031</t>
  </si>
  <si>
    <t>YJ TRADING</t>
  </si>
  <si>
    <t>E/712</t>
  </si>
  <si>
    <t>FOOD INTERNATIONAL TRADING LTD</t>
  </si>
  <si>
    <t>E/7405</t>
  </si>
  <si>
    <t>PESCIRO ASIA INTERNATIONAL LTD.</t>
  </si>
  <si>
    <t>E/7917</t>
  </si>
  <si>
    <t>REYDELMAR SEAFOOD LIMITED</t>
  </si>
  <si>
    <t>E/8080</t>
  </si>
  <si>
    <t>CARDINAL CELYGAR S.A.</t>
  </si>
  <si>
    <t>E/8185</t>
  </si>
  <si>
    <t>GET FISH SL</t>
  </si>
  <si>
    <t>E/961</t>
  </si>
  <si>
    <t>INTERNATIONAL MARINE INDUSTRIES INC.</t>
  </si>
  <si>
    <t>E/9680</t>
  </si>
  <si>
    <t>MASTERFISH TRADING LIMITED</t>
  </si>
  <si>
    <t>E/990</t>
  </si>
  <si>
    <t>SUPAPACKERS FISH PROCESSORS PTY LTD</t>
  </si>
  <si>
    <t>I/0001</t>
  </si>
  <si>
    <t>CLIENTE DE PRUEBA</t>
  </si>
  <si>
    <t>I/0002</t>
  </si>
  <si>
    <t>Pedro Moscuzza e hijos SA</t>
  </si>
  <si>
    <t>I/0003</t>
  </si>
  <si>
    <t>CLIENTE DE PRUEBA MONOTRIBUTO</t>
  </si>
  <si>
    <t>E/0001</t>
  </si>
  <si>
    <t>CLIENTE DE PRUEBA EXPO</t>
  </si>
  <si>
    <t>E/0010</t>
  </si>
  <si>
    <t>BLUE CORNER FISHERIES CO</t>
  </si>
  <si>
    <t>E/0011</t>
  </si>
  <si>
    <t>WARATHAT MOHAMMED NAEEM ALAMOUDI CO.</t>
  </si>
  <si>
    <t>E/0012</t>
  </si>
  <si>
    <t>VIVECTA BG OOD</t>
  </si>
  <si>
    <t>E/0013</t>
  </si>
  <si>
    <t>SEAFOOD CONNECTION B.V</t>
  </si>
  <si>
    <t>E/0014</t>
  </si>
  <si>
    <t>SEASTAR S.F. INC-</t>
  </si>
  <si>
    <t>E/0015</t>
  </si>
  <si>
    <t>ANTARCTIC CHIEFTAIN SERVICES LTD</t>
  </si>
  <si>
    <t>E/0016</t>
  </si>
  <si>
    <t>MER ROUGE TRADING LTD</t>
  </si>
  <si>
    <t>E/0017</t>
  </si>
  <si>
    <t>AFANA BROTHERS CO</t>
  </si>
  <si>
    <t>E/0018</t>
  </si>
  <si>
    <t>BLUE ATLANTIC TRADING (PTY) LTD</t>
  </si>
  <si>
    <t>E/0019</t>
  </si>
  <si>
    <t>BALADI LTD</t>
  </si>
  <si>
    <t>E/0020</t>
  </si>
  <si>
    <t>OOO "SHKVAL"</t>
  </si>
  <si>
    <t>E/0021</t>
  </si>
  <si>
    <t>DEMYATI FOODS AND MEAT CO</t>
  </si>
  <si>
    <t>E/0022</t>
  </si>
  <si>
    <t>OOO "PROSPEKT"</t>
  </si>
  <si>
    <t>E/0023</t>
  </si>
  <si>
    <t>SEABORNE AGENCIES &amp; CONSULTANTS LTD *</t>
  </si>
  <si>
    <t>E/216</t>
  </si>
  <si>
    <t>NOWACO A/S</t>
  </si>
  <si>
    <t>E/217</t>
  </si>
  <si>
    <t>GAMMA SEAFOOD CORPORATION</t>
  </si>
  <si>
    <t>E/2509</t>
  </si>
  <si>
    <t>CTV FOOD LTD</t>
  </si>
  <si>
    <t>E/2513</t>
  </si>
  <si>
    <t>PROTEA PRODUCTOS DEL MAR S.A.</t>
  </si>
  <si>
    <t>E/2515</t>
  </si>
  <si>
    <t>E-MART INC.</t>
  </si>
  <si>
    <t>E/2521</t>
  </si>
  <si>
    <t>LIBERTY SEAFOOD LLC</t>
  </si>
  <si>
    <t>E/2525</t>
  </si>
  <si>
    <t>EWFRESH NETWORK TECHNOLOGY (BEIJING) CO. LTD</t>
  </si>
  <si>
    <t>E/2569</t>
  </si>
  <si>
    <t>ASSAHIL COMPANY FOR IMPORTING MEAT FOOD</t>
  </si>
  <si>
    <t>E/0998</t>
  </si>
  <si>
    <t>KRUSTAGROUP S.A.</t>
  </si>
  <si>
    <t>E/0999</t>
  </si>
  <si>
    <t>GLESER S.A.</t>
  </si>
  <si>
    <t>E/1000</t>
  </si>
  <si>
    <t>E/1007</t>
  </si>
  <si>
    <t>Valle D´Oro Agroindiustrial  Ltda.</t>
  </si>
  <si>
    <t>E/1010</t>
  </si>
  <si>
    <t>MARE BLU. SOC. COOP. ARL.</t>
  </si>
  <si>
    <t>E/1019</t>
  </si>
  <si>
    <t>Grinmar Trading LLC</t>
  </si>
  <si>
    <t>E/1020</t>
  </si>
  <si>
    <t>JAB BROS COMPANY LLC</t>
  </si>
  <si>
    <t>E/1021</t>
  </si>
  <si>
    <t>IMAEX TRADING CO., INC</t>
  </si>
  <si>
    <t>E/1022</t>
  </si>
  <si>
    <t>SEAFREEZE LTD</t>
  </si>
  <si>
    <t>PESSUD SA</t>
  </si>
  <si>
    <t>I/1500</t>
  </si>
  <si>
    <t>DI MEGLIO JUAN JOSE</t>
  </si>
  <si>
    <t>I/168</t>
  </si>
  <si>
    <t>FRIGORIFICO DON LUIS SRL</t>
  </si>
  <si>
    <t>I/208</t>
  </si>
  <si>
    <t>FRIO SUR SRL</t>
  </si>
  <si>
    <t>I/0059</t>
  </si>
  <si>
    <t>M.I.A. SA</t>
  </si>
  <si>
    <t>I/0099</t>
  </si>
  <si>
    <t>HISPANO</t>
  </si>
  <si>
    <t>I/0800</t>
  </si>
  <si>
    <t>SUCURSAL</t>
  </si>
  <si>
    <t>I/351</t>
  </si>
  <si>
    <t>RAFAEL CIOFFI E HIJOS SA</t>
  </si>
  <si>
    <t>I/620</t>
  </si>
  <si>
    <t>WORLD FISH SA</t>
  </si>
  <si>
    <t>I/6369</t>
  </si>
  <si>
    <t>M VITTORIOSO E HIJOS SRL</t>
  </si>
  <si>
    <t>I/638</t>
  </si>
  <si>
    <t>MICAMAR SRL</t>
  </si>
  <si>
    <t>I/647</t>
  </si>
  <si>
    <t>PESQUERA LOS MOROS SA</t>
  </si>
  <si>
    <t>I/66</t>
  </si>
  <si>
    <t>LOBA PESQUERA SAMCI</t>
  </si>
  <si>
    <t>I/666</t>
  </si>
  <si>
    <t>DI YORIO DIEGO GUILLERMO</t>
  </si>
  <si>
    <t>I/667</t>
  </si>
  <si>
    <t>LA BELLA SA</t>
  </si>
  <si>
    <t>I/673</t>
  </si>
  <si>
    <t>PESQUERA AGUSTIMAR SA</t>
  </si>
  <si>
    <t>I/678</t>
  </si>
  <si>
    <t>INSER SA</t>
  </si>
  <si>
    <t>I/689</t>
  </si>
  <si>
    <t>GOOD FISH SRL</t>
  </si>
  <si>
    <t>I/691</t>
  </si>
  <si>
    <t>MARLIN AUSTRAL SA</t>
  </si>
  <si>
    <t>I/692</t>
  </si>
  <si>
    <t>IL SOLE SA</t>
  </si>
  <si>
    <t>I/695</t>
  </si>
  <si>
    <t>MOLIENDAS DEL SUR SA</t>
  </si>
  <si>
    <t>I/7</t>
  </si>
  <si>
    <t>MATTERA HERMANOS SA</t>
  </si>
  <si>
    <t>I/7044</t>
  </si>
  <si>
    <t>FILETTO SRL</t>
  </si>
  <si>
    <t>I/7046</t>
  </si>
  <si>
    <t>PUERTO ESCONDIDO SA</t>
  </si>
  <si>
    <t>I/7047</t>
  </si>
  <si>
    <t>PUERTO MIÑOR SA</t>
  </si>
  <si>
    <t>I/7050</t>
  </si>
  <si>
    <t>PESQUERA COSTA BRAVA S.A.</t>
  </si>
  <si>
    <t>I/7052</t>
  </si>
  <si>
    <t>COOPERATIVA DE TREABAJO PESQUERA NUEVO RUMBO LTDA.</t>
  </si>
  <si>
    <t>I/7056</t>
  </si>
  <si>
    <t>GRIM-FISH SRL</t>
  </si>
  <si>
    <t>ARHEHPEZ SA</t>
  </si>
  <si>
    <t>O. Y J. DI MARCO</t>
  </si>
  <si>
    <t>I/59</t>
  </si>
  <si>
    <t>I/595</t>
  </si>
  <si>
    <t>INC SA</t>
  </si>
  <si>
    <t>I/597</t>
  </si>
  <si>
    <t>PEZ MORENA SRL</t>
  </si>
  <si>
    <t>I/428</t>
  </si>
  <si>
    <t>CHIARPESCA SA</t>
  </si>
  <si>
    <t>I/43</t>
  </si>
  <si>
    <t>OSTRAMAR SA</t>
  </si>
  <si>
    <t>I/7058</t>
  </si>
  <si>
    <t>COAST FISH SRL</t>
  </si>
  <si>
    <t>I/7060</t>
  </si>
  <si>
    <t>LANZA NICOLAS LANZA JOAQUIN Y LANZA MIGUEL ANGEL</t>
  </si>
  <si>
    <t>LAKSUR SA</t>
  </si>
  <si>
    <t>I/7064</t>
  </si>
  <si>
    <t>LEVAMAR SRL</t>
  </si>
  <si>
    <t>I/7065</t>
  </si>
  <si>
    <t>GOLD FISH SRL</t>
  </si>
  <si>
    <t>I/7066</t>
  </si>
  <si>
    <t>COMERCIAL DEL ATLANTICO SUR SA</t>
  </si>
  <si>
    <t>I/7073</t>
  </si>
  <si>
    <t>ANTONIO CERCHIARA</t>
  </si>
  <si>
    <t>I/7074</t>
  </si>
  <si>
    <t>PESQUERA UNIVERSAL SA</t>
  </si>
  <si>
    <t>I/7078</t>
  </si>
  <si>
    <t>VIEIRA ARGENTINA SA</t>
  </si>
  <si>
    <t>I/7079</t>
  </si>
  <si>
    <t>NETUNO ARGENTINA SRL</t>
  </si>
  <si>
    <t>I/7081</t>
  </si>
  <si>
    <t>CINELLI CESAR Y DI YORIO DIEGO</t>
  </si>
  <si>
    <t>I/7082</t>
  </si>
  <si>
    <t>ALFANO IZZO CARDINALI Y VALERIANO RECUPERACION MAR DEL PLATA</t>
  </si>
  <si>
    <t>I/7083</t>
  </si>
  <si>
    <t>COOPERATIVA DE TRABAJO LUMI-COPP LTDA.</t>
  </si>
  <si>
    <t>I/7084</t>
  </si>
  <si>
    <t>ODUN SRL</t>
  </si>
  <si>
    <t>I/7085</t>
  </si>
  <si>
    <t>OTOPER SA</t>
  </si>
  <si>
    <t>I/7086</t>
  </si>
  <si>
    <t>OZZONNO SA</t>
  </si>
  <si>
    <t>I/7087</t>
  </si>
  <si>
    <t>PESCADERIA SANTA MARIA SRL</t>
  </si>
  <si>
    <t>I/7088</t>
  </si>
  <si>
    <t>CONSERVAS MEDITERRANEO SA</t>
  </si>
  <si>
    <t>I/7089</t>
  </si>
  <si>
    <t>MARGRANDE SA</t>
  </si>
  <si>
    <t>I/7090</t>
  </si>
  <si>
    <t>SOLUCION ALIMENTARIA SA</t>
  </si>
  <si>
    <t>I/7091</t>
  </si>
  <si>
    <t>TRANSPORTE PABLO A. SRL</t>
  </si>
  <si>
    <t>I/7092</t>
  </si>
  <si>
    <t>MANJARES DEL MAR SRL</t>
  </si>
  <si>
    <t>I/7093</t>
  </si>
  <si>
    <t>NOAH PESQUERA SRL</t>
  </si>
  <si>
    <t>I/7094</t>
  </si>
  <si>
    <t>IF8 INTERNATIONAL SA</t>
  </si>
  <si>
    <t>I/7095</t>
  </si>
  <si>
    <t>COOPERATIVA DE TRABAJO GOLDFISH LTDA.</t>
  </si>
  <si>
    <t>I/7096</t>
  </si>
  <si>
    <t>COOPERATIVA DE TRABAJO MARLAP LTDA.</t>
  </si>
  <si>
    <t>I/7097</t>
  </si>
  <si>
    <t>DICANDILO CARLOS ALBERTO</t>
  </si>
  <si>
    <t>I/7099</t>
  </si>
  <si>
    <t>HAZON SRL</t>
  </si>
  <si>
    <t>I/7100</t>
  </si>
  <si>
    <t>SALPAT SA</t>
  </si>
  <si>
    <t>I/7101</t>
  </si>
  <si>
    <t>PESCA LISTA ARGENTINA SA</t>
  </si>
  <si>
    <t>I/7102</t>
  </si>
  <si>
    <t>PINA PESCA SA</t>
  </si>
  <si>
    <t>I/7103</t>
  </si>
  <si>
    <t>COMERCIAL MDP</t>
  </si>
  <si>
    <t>I/7104</t>
  </si>
  <si>
    <t>FEROLA PABLO SALVADOR</t>
  </si>
  <si>
    <t>I/7105</t>
  </si>
  <si>
    <t>ARGENOVA SA</t>
  </si>
  <si>
    <t>I/7106</t>
  </si>
  <si>
    <t>ACTIS GIORGETTO RICARDO H</t>
  </si>
  <si>
    <t>FLESHMAR SRL(EN FORMACION)</t>
  </si>
  <si>
    <t>I/7108</t>
  </si>
  <si>
    <t>PESQUERA ANGELITO SRL</t>
  </si>
  <si>
    <t>I/7118</t>
  </si>
  <si>
    <t>DIOS QUERIDO S.A.</t>
  </si>
  <si>
    <t>I/7256</t>
  </si>
  <si>
    <t>GUILLERMO SIMONE S A C I F Y A</t>
  </si>
  <si>
    <t>I/7260</t>
  </si>
  <si>
    <t>LA COSTILLITA SA</t>
  </si>
  <si>
    <t>I/7261</t>
  </si>
  <si>
    <t>BADAL TALENS SA</t>
  </si>
  <si>
    <t>I/7262</t>
  </si>
  <si>
    <t>NEWSAN FOOD S.A.U.</t>
  </si>
  <si>
    <t>I/7263</t>
  </si>
  <si>
    <t>PESQUERA DEL SUD SRL</t>
  </si>
  <si>
    <t>I/7265</t>
  </si>
  <si>
    <t>HEMPEL ARGENTINA SRL</t>
  </si>
  <si>
    <t>I/7268</t>
  </si>
  <si>
    <t> MEDEZ TADEO FACUNDO</t>
  </si>
  <si>
    <t>I/7271</t>
  </si>
  <si>
    <t>NAGARI S.A.</t>
  </si>
  <si>
    <t>I/7272</t>
  </si>
  <si>
    <t>CHAVEZ CRISTIAN GABRIEL</t>
  </si>
  <si>
    <t>I/7274</t>
  </si>
  <si>
    <t>JARABA ANDRES ESTEBAN</t>
  </si>
  <si>
    <t>I/7275</t>
  </si>
  <si>
    <t>CONSERMAR S.R.L.</t>
  </si>
  <si>
    <t>I/7276</t>
  </si>
  <si>
    <t>NEWSAN SA</t>
  </si>
  <si>
    <t>I/7277</t>
  </si>
  <si>
    <t>ZARATIEGUI HECTOR HORACIO</t>
  </si>
  <si>
    <t>I/7278</t>
  </si>
  <si>
    <t>LEDIPA MARE S.A.</t>
  </si>
  <si>
    <t>I/7280</t>
  </si>
  <si>
    <t>MARGARITA ROSANA PRENOLLIO</t>
  </si>
  <si>
    <t>I/7281</t>
  </si>
  <si>
    <t>RAFAEL COPPOLA E HIJOS S R L</t>
  </si>
  <si>
    <t>I/7282</t>
  </si>
  <si>
    <t>EGUREN JORGE ALBERTO</t>
  </si>
  <si>
    <t>I/7283</t>
  </si>
  <si>
    <t>FISHING TIME SRL</t>
  </si>
  <si>
    <t>I/7284</t>
  </si>
  <si>
    <t>BEHERAN FABIAN ALBERTO</t>
  </si>
  <si>
    <t>I/7285</t>
  </si>
  <si>
    <t>SALVADOR MELLINO HNOS SRL</t>
  </si>
  <si>
    <t>I/7286</t>
  </si>
  <si>
    <t>VILLANUEVA VIVIANA NOEMI</t>
  </si>
  <si>
    <t>I/7287</t>
  </si>
  <si>
    <t>AMSTERDAM-SB</t>
  </si>
  <si>
    <t>I/7288</t>
  </si>
  <si>
    <t>EMPRESA DE COMBUSTIBLES ZONA COMUN SA</t>
  </si>
  <si>
    <t>I/7289</t>
  </si>
  <si>
    <t>GARCIA VIVIANA LOURDES</t>
  </si>
  <si>
    <t>I/729</t>
  </si>
  <si>
    <t>CHIAPPERO JAVIER IVAN</t>
  </si>
  <si>
    <t>I/7290</t>
  </si>
  <si>
    <t>HOURCADE MATIAS</t>
  </si>
  <si>
    <t>I/7291</t>
  </si>
  <si>
    <t>LAGO LAKAR S.A.</t>
  </si>
  <si>
    <t>I/7292</t>
  </si>
  <si>
    <t>FRIO POLAR S.A</t>
  </si>
  <si>
    <t>I/7293</t>
  </si>
  <si>
    <t>DISTRIBUIDORA ANTOMAR S.A.</t>
  </si>
  <si>
    <t>I/7294</t>
  </si>
  <si>
    <t>MAREE</t>
  </si>
  <si>
    <t>I/7295</t>
  </si>
  <si>
    <t>PUSINERI RODRIGO</t>
  </si>
  <si>
    <t>I/7296</t>
  </si>
  <si>
    <t>PESQUERA DESEADO SAU</t>
  </si>
  <si>
    <t>I/7297</t>
  </si>
  <si>
    <t>FISHING MART SA</t>
  </si>
  <si>
    <t>I/7298</t>
  </si>
  <si>
    <t>FISHING GROUND MDQ S.R.L.</t>
  </si>
  <si>
    <t>I/7299</t>
  </si>
  <si>
    <t>TRAWELUWN SA</t>
  </si>
  <si>
    <t>I/7300</t>
  </si>
  <si>
    <t>H.G MARISCOS S.R.L.</t>
  </si>
  <si>
    <t>I/7303</t>
  </si>
  <si>
    <t>ALARCON CRISTIAN JOAQUIN</t>
  </si>
  <si>
    <t>I/7305</t>
  </si>
  <si>
    <t>EZEQUIEL ALBERTO YANCOVICH</t>
  </si>
  <si>
    <t>I/7306</t>
  </si>
  <si>
    <t>SZKUCKO IGOR</t>
  </si>
  <si>
    <t>I/7307</t>
  </si>
  <si>
    <t>PESCADERIA CANDEMAR SRL</t>
  </si>
  <si>
    <t>OCEAN STAR S.A.</t>
  </si>
  <si>
    <t>I/7311</t>
  </si>
  <si>
    <t>FUTVAL SA</t>
  </si>
  <si>
    <t>I/7314</t>
  </si>
  <si>
    <t>PESQUERA CRUZ DEL SUR S A</t>
  </si>
  <si>
    <t>I/7315</t>
  </si>
  <si>
    <t>COMERCIALIZADORA INTERIOR DE LA PATAGONIA AUSTRAL S.R.L.</t>
  </si>
  <si>
    <t>I/7316</t>
  </si>
  <si>
    <t> INEGIRA S.A.</t>
  </si>
  <si>
    <t>I/7317</t>
  </si>
  <si>
    <t>GOENAGA PABLO ALFREDO</t>
  </si>
  <si>
    <t>I/7318</t>
  </si>
  <si>
    <t>ILLEX FISHING S.A</t>
  </si>
  <si>
    <t>I/7320</t>
  </si>
  <si>
    <t>PESQUERA PLA-ABAL SOCIEDAD DE RESPONSABILIDAD LIMITADA EN FORMACION</t>
  </si>
  <si>
    <t>I/7322</t>
  </si>
  <si>
    <t>MUELLE OCHO SA</t>
  </si>
  <si>
    <t>I/7323</t>
  </si>
  <si>
    <t>GINOCCHIO DIEGO ADRIAN</t>
  </si>
  <si>
    <t>I/7324</t>
  </si>
  <si>
    <t>MINEO SRL</t>
  </si>
  <si>
    <t>PAMPA FISH SA</t>
  </si>
  <si>
    <t>I/7327</t>
  </si>
  <si>
    <t>FRANEVA GROUP S. A.</t>
  </si>
  <si>
    <t>I/7328</t>
  </si>
  <si>
    <t> D &amp; A TRANSPORTES S R L</t>
  </si>
  <si>
    <t>I/7329</t>
  </si>
  <si>
    <t>DESDE EL MAR S.A</t>
  </si>
  <si>
    <t>FRAN.CRES.MAR. S.A.</t>
  </si>
  <si>
    <t>I/7331</t>
  </si>
  <si>
    <t>ARCANGEL SAN MIGUEL S R L</t>
  </si>
  <si>
    <t>I/7333</t>
  </si>
  <si>
    <t>INDUSTRIAS SANTA MARIA DEL MAR S R L</t>
  </si>
  <si>
    <t>Natalia Emilse Colaizzo</t>
  </si>
  <si>
    <t>I/7336</t>
  </si>
  <si>
    <t> SUR TRADE SA</t>
  </si>
  <si>
    <t>I/7337</t>
  </si>
  <si>
    <t> BUENA PROA S.A.</t>
  </si>
  <si>
    <t>I/7339</t>
  </si>
  <si>
    <t>LAURO LUCAS EZEQUIEL</t>
  </si>
  <si>
    <t>I/7340</t>
  </si>
  <si>
    <t>CASTILLO CESAR ALFREDO</t>
  </si>
  <si>
    <t>BENGIOMARE S.R.L</t>
  </si>
  <si>
    <t>I/7344</t>
  </si>
  <si>
    <t>CORDON MARCELO SERGIO</t>
  </si>
  <si>
    <t>I/7346</t>
  </si>
  <si>
    <t>ASARO SALVADOR JOSE</t>
  </si>
  <si>
    <t>I/867</t>
  </si>
  <si>
    <t>TATURIELLO SA</t>
  </si>
  <si>
    <t>I/9998</t>
  </si>
  <si>
    <t>Proveeduria - Cargo Empresa</t>
  </si>
  <si>
    <t>I/9999</t>
  </si>
  <si>
    <t>Proveeduría Cargo Tripulantes / Personal</t>
  </si>
  <si>
    <t>I/7191</t>
  </si>
  <si>
    <t>COOPERATIVA DE TRABAJO "ESPERANZA "LTD</t>
  </si>
  <si>
    <t>I/7192</t>
  </si>
  <si>
    <t>INTI CENTRO INVESTIGACION</t>
  </si>
  <si>
    <t>I/7193</t>
  </si>
  <si>
    <t>COOP.TRABAJO CADELAFI LTD</t>
  </si>
  <si>
    <t>I/7194</t>
  </si>
  <si>
    <t>GALENO ART SA</t>
  </si>
  <si>
    <t>I/7195</t>
  </si>
  <si>
    <t>PESCA AUSTRAL S.A.</t>
  </si>
  <si>
    <t>I/7196</t>
  </si>
  <si>
    <t>MIMEN SRL</t>
  </si>
  <si>
    <t>I/7197</t>
  </si>
  <si>
    <t>BENGOCHEA JORGE GABRIEL</t>
  </si>
  <si>
    <t>I/7198</t>
  </si>
  <si>
    <t>NICLAU DESP.DE ADUANA SA</t>
  </si>
  <si>
    <t>I/7200</t>
  </si>
  <si>
    <t>FRANGELA SA</t>
  </si>
  <si>
    <t>I/7201</t>
  </si>
  <si>
    <t>PAKENRO S.A.</t>
  </si>
  <si>
    <t>I/7202</t>
  </si>
  <si>
    <t>BATTISTIN DISTRIBUCIONES S.R.L.</t>
  </si>
  <si>
    <t>I/7203</t>
  </si>
  <si>
    <t>CLUB ATLETICO ALDOSIVI</t>
  </si>
  <si>
    <t>I/7207</t>
  </si>
  <si>
    <t>RIOLUPA S.A.</t>
  </si>
  <si>
    <t>I/7209</t>
  </si>
  <si>
    <t>MAR DEL PLATA HUBSI SA</t>
  </si>
  <si>
    <t>I/7210</t>
  </si>
  <si>
    <t>AVINCETA MARIO CESAR</t>
  </si>
  <si>
    <t>I/7211</t>
  </si>
  <si>
    <t>LA CAMPANA S A</t>
  </si>
  <si>
    <t>I/7213</t>
  </si>
  <si>
    <t>MARTIN WALTER GUILLERMO</t>
  </si>
  <si>
    <t>I/7214</t>
  </si>
  <si>
    <t>CONGELADOS ATLANTICO SUR SA</t>
  </si>
  <si>
    <t>I/7215</t>
  </si>
  <si>
    <t>ASTILLERO DE ANGELIS S. A.</t>
  </si>
  <si>
    <t>I/7216</t>
  </si>
  <si>
    <t>MARITIMA PORTO BELO S.A.</t>
  </si>
  <si>
    <t>I/7218</t>
  </si>
  <si>
    <t>JUMBO RETAIL ARGENTINA SA</t>
  </si>
  <si>
    <t>I/7219</t>
  </si>
  <si>
    <t>FERPEL S.R.L.</t>
  </si>
  <si>
    <t>I/7220</t>
  </si>
  <si>
    <t>FISHBONE SA EN FORMACION</t>
  </si>
  <si>
    <t>I/7221</t>
  </si>
  <si>
    <t>GRISOLIA DANA SAMANTA</t>
  </si>
  <si>
    <t>I/7223</t>
  </si>
  <si>
    <t>POMPILIO NATALIA</t>
  </si>
  <si>
    <t>I/7224</t>
  </si>
  <si>
    <t>COPECA SA</t>
  </si>
  <si>
    <t>I/7225</t>
  </si>
  <si>
    <t>MONICA SCHIAFFINO Y ASOCIADOS</t>
  </si>
  <si>
    <t>I/7226</t>
  </si>
  <si>
    <t>PANAGGIO JORGE MARTIN</t>
  </si>
  <si>
    <t>I/7227</t>
  </si>
  <si>
    <t>STAR - FISH SA</t>
  </si>
  <si>
    <t>I/7229</t>
  </si>
  <si>
    <t>FISH BOX SA</t>
  </si>
  <si>
    <t>I/7230</t>
  </si>
  <si>
    <t>ESTRELLA PATAGONICA S.A.</t>
  </si>
  <si>
    <t>I/7231</t>
  </si>
  <si>
    <t>PM &amp; AB SA</t>
  </si>
  <si>
    <t>I/7233</t>
  </si>
  <si>
    <t>ICHIBAN S.A.</t>
  </si>
  <si>
    <t>I/7234</t>
  </si>
  <si>
    <t>GALLARDO MARIA MARCELA</t>
  </si>
  <si>
    <t>I/7235</t>
  </si>
  <si>
    <t>CALETAS OLI PAU SA</t>
  </si>
  <si>
    <t>I/7236</t>
  </si>
  <si>
    <t>JULIAN  BUGLIONE</t>
  </si>
  <si>
    <t>I/7241</t>
  </si>
  <si>
    <t>PESQUERA VERAZ S A</t>
  </si>
  <si>
    <t>I/7242</t>
  </si>
  <si>
    <t>RITORNO SALLUSTIO Y CICCIOTTI  SA</t>
  </si>
  <si>
    <t>I/7243</t>
  </si>
  <si>
    <t>CANAL DE BEAGLE S R L</t>
  </si>
  <si>
    <t>I/7244</t>
  </si>
  <si>
    <t>SOSA CATALINA</t>
  </si>
  <si>
    <t>I/7245</t>
  </si>
  <si>
    <t>LAMARENCOCHE S.R.L.</t>
  </si>
  <si>
    <t>I/7247</t>
  </si>
  <si>
    <t>PRODUCTORA ARGEN PESCA S A</t>
  </si>
  <si>
    <t>I/7248</t>
  </si>
  <si>
    <t>CABRAL HUGO MARCELO</t>
  </si>
  <si>
    <t>I/7249</t>
  </si>
  <si>
    <t>APOLO FISH SA</t>
  </si>
  <si>
    <t>I/7250</t>
  </si>
  <si>
    <t>SOLUCIONES NAVALES S R L</t>
  </si>
  <si>
    <t>I/7252</t>
  </si>
  <si>
    <t>BANCO PATAGONIA SA</t>
  </si>
  <si>
    <t>E/0980</t>
  </si>
  <si>
    <t>SEABEST CORP. S.A.</t>
  </si>
  <si>
    <t>E/0982</t>
  </si>
  <si>
    <t>FILPORT S.A.</t>
  </si>
  <si>
    <t>E/0983</t>
  </si>
  <si>
    <t>MARINEWORKS TRANSCONTINENTAL DENIZ VE HAVA TASIMACILIGI ITHALAT IHRACAT TICARET ANONIM SIRKETI</t>
  </si>
  <si>
    <t>E/0984</t>
  </si>
  <si>
    <t>ANCORA NUOVA D.O.O.</t>
  </si>
  <si>
    <t>E/0985</t>
  </si>
  <si>
    <t>I.M. RUS GROUP COMPANY SRL</t>
  </si>
  <si>
    <t>E/0986</t>
  </si>
  <si>
    <t>ATLANTIC FINANCE AND TRADING CORP.</t>
  </si>
  <si>
    <t>I/7348</t>
  </si>
  <si>
    <t>SURCO LABRADO</t>
  </si>
  <si>
    <t>I/7349</t>
  </si>
  <si>
    <t>COOPERATIVA DE TRABAJO COSTA DORADA LIMITADA</t>
  </si>
  <si>
    <t>I/7350</t>
  </si>
  <si>
    <t>LA SARITA S R L</t>
  </si>
  <si>
    <t>I/7351</t>
  </si>
  <si>
    <t>SAPIENZA MARCELO FERNANDO</t>
  </si>
  <si>
    <t>I/7352</t>
  </si>
  <si>
    <t>BILANCIERI SEBASTIAN PEDRO</t>
  </si>
  <si>
    <t>I/7353</t>
  </si>
  <si>
    <t>THORPESCA S.A.S</t>
  </si>
  <si>
    <t>I/7355</t>
  </si>
  <si>
    <t>SANABRIA-SANABRIA SH</t>
  </si>
  <si>
    <t>I/7357</t>
  </si>
  <si>
    <t>RITORNO SALLUSTIO Y CICCIOTTI S. A.</t>
  </si>
  <si>
    <t>I/815</t>
  </si>
  <si>
    <t>PESCAFE SA</t>
  </si>
  <si>
    <t>I/817</t>
  </si>
  <si>
    <t>PEQUI MAR SA</t>
  </si>
  <si>
    <t>I/7183</t>
  </si>
  <si>
    <t>MAR CALMO S.R.L.</t>
  </si>
  <si>
    <t>I/7162</t>
  </si>
  <si>
    <t>ILLEX SA</t>
  </si>
  <si>
    <t>I/7176</t>
  </si>
  <si>
    <t>EDGARDO ALBERTO MARTINEZ</t>
  </si>
  <si>
    <t>I/7181</t>
  </si>
  <si>
    <t>TOLABA CRISTIAN MARCELO</t>
  </si>
  <si>
    <t>I/7182</t>
  </si>
  <si>
    <t>PYDA SA</t>
  </si>
  <si>
    <t>I/7163</t>
  </si>
  <si>
    <t>INGENIERO MICONI Y ASOCIADOS S.A.</t>
  </si>
  <si>
    <t>I/7164</t>
  </si>
  <si>
    <t>LA OF SA</t>
  </si>
  <si>
    <t>I/7165</t>
  </si>
  <si>
    <t>MARITIMA COMERCIAL SA</t>
  </si>
  <si>
    <t>I/7184</t>
  </si>
  <si>
    <t>PUERTO ELAGUI SRL</t>
  </si>
  <si>
    <t>I/7186</t>
  </si>
  <si>
    <t>CHERNIA S.R.L.</t>
  </si>
  <si>
    <t>I/7188</t>
  </si>
  <si>
    <t>LUCHOMAR S.A.</t>
  </si>
  <si>
    <t>I/7117</t>
  </si>
  <si>
    <t>COOP.TRABAJO REPARAIONES NAVALES ATLANTICA LTDA</t>
  </si>
  <si>
    <t>I/7150</t>
  </si>
  <si>
    <t>PESQUERA EL NAZARENO SA</t>
  </si>
  <si>
    <t>PESCA ANGELA SA</t>
  </si>
  <si>
    <t>I/7152</t>
  </si>
  <si>
    <t>GAAD GROUP SA</t>
  </si>
  <si>
    <t>I/7153</t>
  </si>
  <si>
    <t>HERNAN CARO</t>
  </si>
  <si>
    <t>I/7154</t>
  </si>
  <si>
    <t>LA HOLANDO SUDAMERICANA CIA. DE SEGUROS SA</t>
  </si>
  <si>
    <t>I/7155</t>
  </si>
  <si>
    <t>I/7156</t>
  </si>
  <si>
    <t>SOLPESCA EXPORTADORA SRL</t>
  </si>
  <si>
    <t>CABO VERDE SA</t>
  </si>
  <si>
    <t>I/7158</t>
  </si>
  <si>
    <t>MUÑIZ HNOS SRL</t>
  </si>
  <si>
    <t>I/7167</t>
  </si>
  <si>
    <t>MONTEROSSO MARE SA (EN FORMACION)</t>
  </si>
  <si>
    <t>I/7168</t>
  </si>
  <si>
    <t>LUIS ANTONIO PIRAGINE</t>
  </si>
  <si>
    <t>I/7169</t>
  </si>
  <si>
    <t>ESPOSITO LEONARDO RUBEN</t>
  </si>
  <si>
    <t>I/7170</t>
  </si>
  <si>
    <t>COOP.TRAB.MAR AZUL LTDA</t>
  </si>
  <si>
    <t>I/7171</t>
  </si>
  <si>
    <t>PESQUERA RAFFAELA SA</t>
  </si>
  <si>
    <t>I/7172</t>
  </si>
  <si>
    <t>SERVICIOS PORTUARIOS INTEGRADOS SA</t>
  </si>
  <si>
    <t>I/7173</t>
  </si>
  <si>
    <t>JOSE MOSCUZZA Y CIA SA</t>
  </si>
  <si>
    <t>I/7174</t>
  </si>
  <si>
    <t>FONSECA SA</t>
  </si>
  <si>
    <t>I/7175</t>
  </si>
  <si>
    <t> ( no usar) ALFANO IZZO CARDINALI Y VALERIANO RECUPERACION MAR DEL PLATA</t>
  </si>
  <si>
    <t>I/7160</t>
  </si>
  <si>
    <t>ABPEY SRL</t>
  </si>
  <si>
    <t>I/7161</t>
  </si>
  <si>
    <t>FISHING WORLD SA</t>
  </si>
  <si>
    <t>I/7121</t>
  </si>
  <si>
    <t>GRANGY'S SA</t>
  </si>
  <si>
    <t>I/7122</t>
  </si>
  <si>
    <t>KALARI SA</t>
  </si>
  <si>
    <t>I/7123</t>
  </si>
  <si>
    <t>PM REFRIGERACION INDUSTRIAL SA</t>
  </si>
  <si>
    <t>I/7124</t>
  </si>
  <si>
    <t>PABLO SEBASTIAN GURIDI</t>
  </si>
  <si>
    <t>I/7126</t>
  </si>
  <si>
    <t>WALIOR SA</t>
  </si>
  <si>
    <t>LINEAERRE SA</t>
  </si>
  <si>
    <t>I/7129</t>
  </si>
  <si>
    <t>FISH COMPANY SA</t>
  </si>
  <si>
    <t>I/7130</t>
  </si>
  <si>
    <t>COMANDANTE PIEDRABUENA SRL</t>
  </si>
  <si>
    <t>I/7131</t>
  </si>
  <si>
    <t>MIELNIK SAWA ILDA</t>
  </si>
  <si>
    <t>I/7132</t>
  </si>
  <si>
    <t>ROLON GUSTAVO JAVIER</t>
  </si>
  <si>
    <t>I/7133</t>
  </si>
  <si>
    <t>ISLAS DE LOS ESTADOS SA</t>
  </si>
  <si>
    <t>I/7134</t>
  </si>
  <si>
    <t>TAPIA MARCELO DANIEL</t>
  </si>
  <si>
    <t>I/7135</t>
  </si>
  <si>
    <t>METAL 1 S.A.</t>
  </si>
  <si>
    <t>I/7136</t>
  </si>
  <si>
    <t>PESQUERA COMERCIAL SA</t>
  </si>
  <si>
    <t>I/7137</t>
  </si>
  <si>
    <t>PESQUERA SIEMPRE GAUCHO SA</t>
  </si>
  <si>
    <t>I/7138</t>
  </si>
  <si>
    <t>VESCOVI JUAN CARLOS</t>
  </si>
  <si>
    <t>I/7139</t>
  </si>
  <si>
    <t>ASTILLERO DE ANGELIS SA</t>
  </si>
  <si>
    <t>I/7140</t>
  </si>
  <si>
    <t>COOP.TRABAJO,CONSUMO Y VIVIENDA PORTUARIOS MDP LTDA</t>
  </si>
  <si>
    <t>I/7141</t>
  </si>
  <si>
    <t>COARCO SA</t>
  </si>
  <si>
    <t>I/7142</t>
  </si>
  <si>
    <t>PESQUERA CARAVON SA (EN FORMACION)</t>
  </si>
  <si>
    <t>I/7143</t>
  </si>
  <si>
    <t>PESQUERA CARAVON SA (ARRENDAMIENTO)</t>
  </si>
  <si>
    <t>I/7144</t>
  </si>
  <si>
    <t>ASTILLERO NAVAL FEDERICO CONTESSI Y CIA</t>
  </si>
  <si>
    <t>I/7145</t>
  </si>
  <si>
    <t>COTO CIC SA</t>
  </si>
  <si>
    <t>I/7146</t>
  </si>
  <si>
    <t>SALVATORE HERMINIA</t>
  </si>
  <si>
    <t>I/7147</t>
  </si>
  <si>
    <t>MANZUR ELBA GRACIELA</t>
  </si>
  <si>
    <t>I/7148</t>
  </si>
  <si>
    <t>ACAREY SA</t>
  </si>
  <si>
    <t>I/7109</t>
  </si>
  <si>
    <t>PESCA ANTIGUA SA</t>
  </si>
  <si>
    <t>I/7110</t>
  </si>
  <si>
    <t>PEQUEÑA MARINA SRL</t>
  </si>
  <si>
    <t>I/7111</t>
  </si>
  <si>
    <t>HIPOCOOP LTDA Y OTROS UTE</t>
  </si>
  <si>
    <t>I/7112</t>
  </si>
  <si>
    <t>MARITIMA MDQ S.A.</t>
  </si>
  <si>
    <t>I/7113</t>
  </si>
  <si>
    <t>PESQUERA GEMINIS SA</t>
  </si>
  <si>
    <t>I/7114</t>
  </si>
  <si>
    <t>COOP.TRAB.ESTIBAJE HIPOCOOP LTDA</t>
  </si>
  <si>
    <t>I/7115</t>
  </si>
  <si>
    <t>GRECIAMAR SA</t>
  </si>
  <si>
    <t>I/7098</t>
  </si>
  <si>
    <t>KALEU KALEU SA</t>
  </si>
  <si>
    <t>I/7067</t>
  </si>
  <si>
    <t>CHULENMAR SRL</t>
  </si>
  <si>
    <t>AGUSTINER SA</t>
  </si>
  <si>
    <t>I/7057</t>
  </si>
  <si>
    <t>INIDEP</t>
  </si>
  <si>
    <t>I/412</t>
  </si>
  <si>
    <t>PESQUERA MARGARITA SA</t>
  </si>
  <si>
    <t>I/426</t>
  </si>
  <si>
    <t>PESQUERA CERES SA</t>
  </si>
  <si>
    <t>I/427</t>
  </si>
  <si>
    <t>COOP. DE TRABAJO SAN MARCOS LTDA</t>
  </si>
  <si>
    <t>I/106</t>
  </si>
  <si>
    <t>EL MARISCO SACI</t>
  </si>
  <si>
    <t>I/116</t>
  </si>
  <si>
    <t>COOMARPES LTDA.</t>
  </si>
  <si>
    <t>I/255</t>
  </si>
  <si>
    <t>DESAFIO SA</t>
  </si>
  <si>
    <t>I/284</t>
  </si>
  <si>
    <t>SUCESION ERCOLANO SALVADOR A.</t>
  </si>
  <si>
    <t>I/813</t>
  </si>
  <si>
    <t>NATURAL FISH SA</t>
  </si>
  <si>
    <t>I/0030</t>
  </si>
  <si>
    <t>LUIS SOLIMENO E HIJOS S.A.</t>
  </si>
  <si>
    <t>I/7254</t>
  </si>
  <si>
    <t>DAVID DURAN</t>
  </si>
  <si>
    <t>PESQUERA MAR Y FE SRL</t>
  </si>
  <si>
    <t>I/7190</t>
  </si>
  <si>
    <t>COOP.TRABAJO EL PEHUEN 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</si>
</sst>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44" fontId="0" fillId="0" borderId="0" xfId="1" applyFont="1"/>
    <xf numFmtId="14" fontId="0" fillId="0" borderId="0" xfId="0" applyNumberFormat="1"/>
    <xf numFmtId="14" fontId="0" fillId="2" borderId="0" xfId="0" applyNumberFormat="1" applyFill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02E25-CCC6-426F-A955-4638C3708979}">
  <dimension ref="A1:O477"/>
  <sheetViews>
    <sheetView tabSelected="1" topLeftCell="A460" workbookViewId="0">
      <selection activeCell="J479" sqref="J479"/>
    </sheetView>
  </sheetViews>
  <sheetFormatPr baseColWidth="10" defaultRowHeight="15" x14ac:dyDescent="0.25"/>
  <cols>
    <col min="4" max="4" width="16.140625" bestFit="1" customWidth="1"/>
    <col min="10" max="10" width="18.28515625" style="1" bestFit="1" customWidth="1"/>
    <col min="11" max="11" width="16.7109375" style="1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s="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>
        <v>4881</v>
      </c>
      <c r="D2" t="s">
        <v>15</v>
      </c>
      <c r="E2" t="str">
        <f>VLOOKUP(D:D,Hoja2!A:B,2,FALSE)</f>
        <v>ANGLADA ALFONSO</v>
      </c>
      <c r="F2" t="s">
        <v>17</v>
      </c>
      <c r="G2" t="s">
        <v>18</v>
      </c>
      <c r="H2" t="s">
        <v>15</v>
      </c>
      <c r="I2" t="s">
        <v>19</v>
      </c>
      <c r="J2" s="1">
        <v>-2.5</v>
      </c>
      <c r="K2" s="1">
        <v>-2.5</v>
      </c>
      <c r="L2" t="s">
        <v>20</v>
      </c>
      <c r="M2" t="s">
        <v>21</v>
      </c>
    </row>
    <row r="3" spans="1:13" x14ac:dyDescent="0.25">
      <c r="A3" t="s">
        <v>13</v>
      </c>
      <c r="B3" t="s">
        <v>22</v>
      </c>
      <c r="C3">
        <v>15</v>
      </c>
      <c r="D3" t="s">
        <v>15</v>
      </c>
      <c r="E3" t="str">
        <f>VLOOKUP(D:D,Hoja2!A:B,2,FALSE)</f>
        <v>ANGLADA ALFONSO</v>
      </c>
      <c r="F3" t="s">
        <v>17</v>
      </c>
      <c r="G3" t="s">
        <v>18</v>
      </c>
      <c r="H3" t="s">
        <v>15</v>
      </c>
      <c r="I3" t="s">
        <v>23</v>
      </c>
      <c r="J3" s="1">
        <v>2.5</v>
      </c>
      <c r="K3" s="1">
        <v>0</v>
      </c>
      <c r="L3" t="s">
        <v>24</v>
      </c>
      <c r="M3" t="s">
        <v>25</v>
      </c>
    </row>
    <row r="4" spans="1:13" x14ac:dyDescent="0.25">
      <c r="A4" t="s">
        <v>13</v>
      </c>
      <c r="B4" t="s">
        <v>26</v>
      </c>
      <c r="C4">
        <v>3790</v>
      </c>
      <c r="D4" t="s">
        <v>27</v>
      </c>
      <c r="E4" t="str">
        <f>VLOOKUP(D:D,Hoja2!A:B,2,FALSE)</f>
        <v>ARDAPEZ SA</v>
      </c>
      <c r="F4" t="s">
        <v>29</v>
      </c>
      <c r="G4" t="s">
        <v>18</v>
      </c>
      <c r="H4" t="s">
        <v>27</v>
      </c>
      <c r="I4" t="s">
        <v>30</v>
      </c>
      <c r="J4" s="1">
        <v>1734000</v>
      </c>
      <c r="K4" s="1">
        <v>1734000</v>
      </c>
      <c r="L4" t="s">
        <v>24</v>
      </c>
      <c r="M4" t="s">
        <v>31</v>
      </c>
    </row>
    <row r="5" spans="1:13" x14ac:dyDescent="0.25">
      <c r="A5" t="s">
        <v>13</v>
      </c>
      <c r="B5" t="s">
        <v>32</v>
      </c>
      <c r="C5">
        <v>168</v>
      </c>
      <c r="D5" t="s">
        <v>27</v>
      </c>
      <c r="E5" t="str">
        <f>VLOOKUP(D:D,Hoja2!A:B,2,FALSE)</f>
        <v>ARDAPEZ SA</v>
      </c>
      <c r="F5" t="s">
        <v>29</v>
      </c>
      <c r="G5" t="s">
        <v>18</v>
      </c>
      <c r="H5" t="s">
        <v>27</v>
      </c>
      <c r="I5" t="s">
        <v>30</v>
      </c>
      <c r="J5" s="1">
        <v>-1734000</v>
      </c>
      <c r="K5" s="1">
        <v>0</v>
      </c>
      <c r="L5" t="s">
        <v>24</v>
      </c>
      <c r="M5" t="s">
        <v>33</v>
      </c>
    </row>
    <row r="6" spans="1:13" x14ac:dyDescent="0.25">
      <c r="A6" t="s">
        <v>13</v>
      </c>
      <c r="B6" t="s">
        <v>26</v>
      </c>
      <c r="C6">
        <v>7224</v>
      </c>
      <c r="D6" t="s">
        <v>34</v>
      </c>
      <c r="E6" t="str">
        <f>VLOOKUP(D:D,Hoja2!A:B,2,FALSE)</f>
        <v>MARDI SA</v>
      </c>
      <c r="F6" t="s">
        <v>29</v>
      </c>
      <c r="G6" t="s">
        <v>18</v>
      </c>
      <c r="H6" t="s">
        <v>34</v>
      </c>
      <c r="I6" t="s">
        <v>36</v>
      </c>
      <c r="J6" s="1">
        <v>19324800</v>
      </c>
      <c r="K6" s="1">
        <v>19324800</v>
      </c>
      <c r="L6" t="s">
        <v>24</v>
      </c>
      <c r="M6" t="s">
        <v>37</v>
      </c>
    </row>
    <row r="7" spans="1:13" x14ac:dyDescent="0.25">
      <c r="A7" t="s">
        <v>13</v>
      </c>
      <c r="B7" t="s">
        <v>26</v>
      </c>
      <c r="C7">
        <v>7240</v>
      </c>
      <c r="D7" t="s">
        <v>34</v>
      </c>
      <c r="E7" t="str">
        <f>VLOOKUP(D:D,Hoja2!A:B,2,FALSE)</f>
        <v>MARDI SA</v>
      </c>
      <c r="F7" t="s">
        <v>29</v>
      </c>
      <c r="G7" t="s">
        <v>18</v>
      </c>
      <c r="H7" t="s">
        <v>34</v>
      </c>
      <c r="I7" t="s">
        <v>38</v>
      </c>
      <c r="J7" s="1">
        <v>23015300</v>
      </c>
      <c r="K7" s="1">
        <v>42340100</v>
      </c>
      <c r="L7" t="s">
        <v>24</v>
      </c>
      <c r="M7" t="s">
        <v>39</v>
      </c>
    </row>
    <row r="8" spans="1:13" x14ac:dyDescent="0.25">
      <c r="A8" t="s">
        <v>13</v>
      </c>
      <c r="B8" t="s">
        <v>26</v>
      </c>
      <c r="C8">
        <v>7257</v>
      </c>
      <c r="D8" t="s">
        <v>34</v>
      </c>
      <c r="E8" t="str">
        <f>VLOOKUP(D:D,Hoja2!A:B,2,FALSE)</f>
        <v>MARDI SA</v>
      </c>
      <c r="F8" t="s">
        <v>29</v>
      </c>
      <c r="G8" t="s">
        <v>18</v>
      </c>
      <c r="H8" t="s">
        <v>34</v>
      </c>
      <c r="I8" t="s">
        <v>40</v>
      </c>
      <c r="J8" s="1">
        <v>20431950</v>
      </c>
      <c r="K8" s="1">
        <v>62772050</v>
      </c>
      <c r="L8" t="s">
        <v>24</v>
      </c>
      <c r="M8" t="s">
        <v>41</v>
      </c>
    </row>
    <row r="9" spans="1:13" x14ac:dyDescent="0.25">
      <c r="A9" t="s">
        <v>13</v>
      </c>
      <c r="B9" t="s">
        <v>26</v>
      </c>
      <c r="C9">
        <v>7284</v>
      </c>
      <c r="D9" t="s">
        <v>34</v>
      </c>
      <c r="E9" t="str">
        <f>VLOOKUP(D:D,Hoja2!A:B,2,FALSE)</f>
        <v>MARDI SA</v>
      </c>
      <c r="F9" t="s">
        <v>29</v>
      </c>
      <c r="G9" t="s">
        <v>18</v>
      </c>
      <c r="H9" t="s">
        <v>34</v>
      </c>
      <c r="I9" t="s">
        <v>42</v>
      </c>
      <c r="J9" s="1">
        <v>24827000</v>
      </c>
      <c r="K9" s="1">
        <v>87599050</v>
      </c>
      <c r="L9" t="s">
        <v>24</v>
      </c>
      <c r="M9" t="s">
        <v>43</v>
      </c>
    </row>
    <row r="10" spans="1:13" x14ac:dyDescent="0.25">
      <c r="A10" t="s">
        <v>13</v>
      </c>
      <c r="B10" t="s">
        <v>26</v>
      </c>
      <c r="C10">
        <v>7302</v>
      </c>
      <c r="D10" t="s">
        <v>34</v>
      </c>
      <c r="E10" t="str">
        <f>VLOOKUP(D:D,Hoja2!A:B,2,FALSE)</f>
        <v>MARDI SA</v>
      </c>
      <c r="F10" t="s">
        <v>29</v>
      </c>
      <c r="G10" t="s">
        <v>18</v>
      </c>
      <c r="H10" t="s">
        <v>34</v>
      </c>
      <c r="I10" t="s">
        <v>44</v>
      </c>
      <c r="J10" s="1">
        <v>28819450</v>
      </c>
      <c r="K10" s="1">
        <v>116418500</v>
      </c>
      <c r="L10" t="s">
        <v>24</v>
      </c>
      <c r="M10" t="s">
        <v>45</v>
      </c>
    </row>
    <row r="11" spans="1:13" x14ac:dyDescent="0.25">
      <c r="A11" t="s">
        <v>13</v>
      </c>
      <c r="B11" t="s">
        <v>32</v>
      </c>
      <c r="C11">
        <v>91</v>
      </c>
      <c r="D11" t="s">
        <v>46</v>
      </c>
      <c r="E11" t="str">
        <f>VLOOKUP(D:D,Hoja2!A:B,2,FALSE)</f>
        <v>GIORNO SA</v>
      </c>
      <c r="F11" t="s">
        <v>48</v>
      </c>
      <c r="G11" t="s">
        <v>18</v>
      </c>
      <c r="H11" t="s">
        <v>46</v>
      </c>
      <c r="I11" t="s">
        <v>49</v>
      </c>
      <c r="J11" s="1">
        <v>-0.01</v>
      </c>
      <c r="K11" s="1">
        <v>-0.01</v>
      </c>
      <c r="L11" t="s">
        <v>24</v>
      </c>
      <c r="M11" t="s">
        <v>50</v>
      </c>
    </row>
    <row r="12" spans="1:13" x14ac:dyDescent="0.25">
      <c r="A12" t="s">
        <v>13</v>
      </c>
      <c r="B12" t="s">
        <v>26</v>
      </c>
      <c r="C12">
        <v>2189</v>
      </c>
      <c r="D12" t="s">
        <v>46</v>
      </c>
      <c r="E12" t="str">
        <f>VLOOKUP(D:D,Hoja2!A:B,2,FALSE)</f>
        <v>GIORNO SA</v>
      </c>
      <c r="F12" t="s">
        <v>48</v>
      </c>
      <c r="G12" t="s">
        <v>18</v>
      </c>
      <c r="H12" t="s">
        <v>46</v>
      </c>
      <c r="I12" t="s">
        <v>51</v>
      </c>
      <c r="J12" s="1">
        <v>1274713.21</v>
      </c>
      <c r="K12" s="1">
        <v>1274713.2</v>
      </c>
      <c r="L12" t="s">
        <v>24</v>
      </c>
      <c r="M12" t="s">
        <v>52</v>
      </c>
    </row>
    <row r="13" spans="1:13" x14ac:dyDescent="0.25">
      <c r="A13" t="s">
        <v>13</v>
      </c>
      <c r="B13" t="s">
        <v>26</v>
      </c>
      <c r="C13">
        <v>2191</v>
      </c>
      <c r="D13" t="s">
        <v>46</v>
      </c>
      <c r="E13" t="str">
        <f>VLOOKUP(D:D,Hoja2!A:B,2,FALSE)</f>
        <v>GIORNO SA</v>
      </c>
      <c r="F13" t="s">
        <v>48</v>
      </c>
      <c r="G13" t="s">
        <v>18</v>
      </c>
      <c r="H13" t="s">
        <v>46</v>
      </c>
      <c r="I13" t="s">
        <v>53</v>
      </c>
      <c r="J13" s="1">
        <v>2574624.2799999998</v>
      </c>
      <c r="K13" s="1">
        <v>3849337.48</v>
      </c>
      <c r="L13" t="s">
        <v>24</v>
      </c>
      <c r="M13" t="s">
        <v>54</v>
      </c>
    </row>
    <row r="14" spans="1:13" x14ac:dyDescent="0.25">
      <c r="A14" t="s">
        <v>13</v>
      </c>
      <c r="B14" t="s">
        <v>32</v>
      </c>
      <c r="C14">
        <v>99</v>
      </c>
      <c r="D14" t="s">
        <v>46</v>
      </c>
      <c r="E14" t="str">
        <f>VLOOKUP(D:D,Hoja2!A:B,2,FALSE)</f>
        <v>GIORNO SA</v>
      </c>
      <c r="F14" t="s">
        <v>48</v>
      </c>
      <c r="G14" t="s">
        <v>18</v>
      </c>
      <c r="H14" t="s">
        <v>46</v>
      </c>
      <c r="I14" t="s">
        <v>53</v>
      </c>
      <c r="J14" s="1">
        <v>-1316317.48</v>
      </c>
      <c r="K14" s="1">
        <v>2533020</v>
      </c>
      <c r="L14" t="s">
        <v>24</v>
      </c>
      <c r="M14" t="s">
        <v>55</v>
      </c>
    </row>
    <row r="15" spans="1:13" x14ac:dyDescent="0.25">
      <c r="A15" t="s">
        <v>13</v>
      </c>
      <c r="B15" t="s">
        <v>32</v>
      </c>
      <c r="C15">
        <v>100</v>
      </c>
      <c r="D15" t="s">
        <v>46</v>
      </c>
      <c r="E15" t="str">
        <f>VLOOKUP(D:D,Hoja2!A:B,2,FALSE)</f>
        <v>GIORNO SA</v>
      </c>
      <c r="F15" t="s">
        <v>48</v>
      </c>
      <c r="G15" t="s">
        <v>18</v>
      </c>
      <c r="H15" t="s">
        <v>46</v>
      </c>
      <c r="I15" t="s">
        <v>53</v>
      </c>
      <c r="J15" s="1">
        <v>-2656496.63</v>
      </c>
      <c r="K15" s="1">
        <v>-123476.63</v>
      </c>
      <c r="L15" t="s">
        <v>24</v>
      </c>
      <c r="M15" t="s">
        <v>56</v>
      </c>
    </row>
    <row r="16" spans="1:13" x14ac:dyDescent="0.25">
      <c r="A16" t="s">
        <v>13</v>
      </c>
      <c r="B16" t="s">
        <v>57</v>
      </c>
      <c r="C16">
        <v>66</v>
      </c>
      <c r="D16" t="s">
        <v>46</v>
      </c>
      <c r="E16" t="str">
        <f>VLOOKUP(D:D,Hoja2!A:B,2,FALSE)</f>
        <v>GIORNO SA</v>
      </c>
      <c r="F16" t="s">
        <v>48</v>
      </c>
      <c r="G16" t="s">
        <v>18</v>
      </c>
      <c r="H16" t="s">
        <v>46</v>
      </c>
      <c r="I16" t="s">
        <v>53</v>
      </c>
      <c r="J16" s="1">
        <v>41604.26</v>
      </c>
      <c r="K16" s="1">
        <v>-81872.370000000301</v>
      </c>
      <c r="L16" t="s">
        <v>24</v>
      </c>
      <c r="M16" t="s">
        <v>58</v>
      </c>
    </row>
    <row r="17" spans="1:13" x14ac:dyDescent="0.25">
      <c r="A17" t="s">
        <v>13</v>
      </c>
      <c r="B17" t="s">
        <v>57</v>
      </c>
      <c r="C17">
        <v>67</v>
      </c>
      <c r="D17" t="s">
        <v>46</v>
      </c>
      <c r="E17" t="str">
        <f>VLOOKUP(D:D,Hoja2!A:B,2,FALSE)</f>
        <v>GIORNO SA</v>
      </c>
      <c r="F17" t="s">
        <v>48</v>
      </c>
      <c r="G17" t="s">
        <v>18</v>
      </c>
      <c r="H17" t="s">
        <v>46</v>
      </c>
      <c r="I17" t="s">
        <v>53</v>
      </c>
      <c r="J17" s="1">
        <v>81872.350000000006</v>
      </c>
      <c r="K17" s="1">
        <v>-2.00000003387686E-2</v>
      </c>
      <c r="L17" t="s">
        <v>24</v>
      </c>
      <c r="M17" t="s">
        <v>59</v>
      </c>
    </row>
    <row r="18" spans="1:13" x14ac:dyDescent="0.25">
      <c r="A18" t="s">
        <v>13</v>
      </c>
      <c r="B18" t="s">
        <v>60</v>
      </c>
      <c r="C18">
        <v>26</v>
      </c>
      <c r="D18" t="s">
        <v>46</v>
      </c>
      <c r="E18" t="str">
        <f>VLOOKUP(D:D,Hoja2!A:B,2,FALSE)</f>
        <v>GIORNO SA</v>
      </c>
      <c r="F18" t="s">
        <v>48</v>
      </c>
      <c r="G18" t="s">
        <v>61</v>
      </c>
      <c r="H18" t="s">
        <v>46</v>
      </c>
      <c r="I18" t="s">
        <v>62</v>
      </c>
      <c r="J18" s="1">
        <v>0.01</v>
      </c>
      <c r="K18" s="1">
        <v>-1.00000003387686E-2</v>
      </c>
      <c r="L18" t="s">
        <v>63</v>
      </c>
      <c r="M18" t="s">
        <v>64</v>
      </c>
    </row>
    <row r="19" spans="1:13" x14ac:dyDescent="0.25">
      <c r="A19" t="s">
        <v>13</v>
      </c>
      <c r="B19" t="s">
        <v>60</v>
      </c>
      <c r="C19">
        <v>27</v>
      </c>
      <c r="D19" t="s">
        <v>46</v>
      </c>
      <c r="E19" t="str">
        <f>VLOOKUP(D:D,Hoja2!A:B,2,FALSE)</f>
        <v>GIORNO SA</v>
      </c>
      <c r="F19" t="s">
        <v>48</v>
      </c>
      <c r="G19" t="s">
        <v>61</v>
      </c>
      <c r="H19" t="s">
        <v>46</v>
      </c>
      <c r="I19" t="s">
        <v>62</v>
      </c>
      <c r="J19" s="1">
        <v>0.01</v>
      </c>
      <c r="K19" s="1">
        <v>-3.3876858610004699E-10</v>
      </c>
      <c r="L19" t="s">
        <v>63</v>
      </c>
      <c r="M19" t="s">
        <v>65</v>
      </c>
    </row>
    <row r="20" spans="1:13" x14ac:dyDescent="0.25">
      <c r="A20" t="s">
        <v>13</v>
      </c>
      <c r="B20" t="s">
        <v>26</v>
      </c>
      <c r="C20">
        <v>7006</v>
      </c>
      <c r="D20" t="s">
        <v>66</v>
      </c>
      <c r="E20" t="str">
        <f>VLOOKUP(D:D,Hoja2!A:B,2,FALSE)</f>
        <v>NATUSUR SA</v>
      </c>
      <c r="F20" t="s">
        <v>29</v>
      </c>
      <c r="G20" t="s">
        <v>18</v>
      </c>
      <c r="H20" t="s">
        <v>66</v>
      </c>
      <c r="I20" t="s">
        <v>68</v>
      </c>
      <c r="J20" s="1">
        <v>464495.4</v>
      </c>
      <c r="K20" s="1">
        <v>464495.4</v>
      </c>
      <c r="L20" t="s">
        <v>24</v>
      </c>
      <c r="M20" t="s">
        <v>69</v>
      </c>
    </row>
    <row r="21" spans="1:13" x14ac:dyDescent="0.25">
      <c r="A21" t="s">
        <v>13</v>
      </c>
      <c r="B21" t="s">
        <v>26</v>
      </c>
      <c r="C21">
        <v>7241</v>
      </c>
      <c r="D21" t="s">
        <v>66</v>
      </c>
      <c r="E21" t="str">
        <f>VLOOKUP(D:D,Hoja2!A:B,2,FALSE)</f>
        <v>NATUSUR SA</v>
      </c>
      <c r="F21" t="s">
        <v>29</v>
      </c>
      <c r="G21" t="s">
        <v>18</v>
      </c>
      <c r="H21" t="s">
        <v>66</v>
      </c>
      <c r="I21" t="s">
        <v>38</v>
      </c>
      <c r="J21" s="1">
        <v>18565140</v>
      </c>
      <c r="K21" s="1">
        <v>19029635.399999999</v>
      </c>
      <c r="L21" t="s">
        <v>24</v>
      </c>
      <c r="M21" t="s">
        <v>70</v>
      </c>
    </row>
    <row r="22" spans="1:13" x14ac:dyDescent="0.25">
      <c r="A22" t="s">
        <v>13</v>
      </c>
      <c r="B22" t="s">
        <v>26</v>
      </c>
      <c r="C22">
        <v>7285</v>
      </c>
      <c r="D22" t="s">
        <v>66</v>
      </c>
      <c r="E22" t="str">
        <f>VLOOKUP(D:D,Hoja2!A:B,2,FALSE)</f>
        <v>NATUSUR SA</v>
      </c>
      <c r="F22" t="s">
        <v>29</v>
      </c>
      <c r="G22" t="s">
        <v>18</v>
      </c>
      <c r="H22" t="s">
        <v>66</v>
      </c>
      <c r="I22" t="s">
        <v>42</v>
      </c>
      <c r="J22" s="1">
        <v>24949100</v>
      </c>
      <c r="K22" s="1">
        <v>43978735.399999999</v>
      </c>
      <c r="L22" t="s">
        <v>24</v>
      </c>
      <c r="M22" t="s">
        <v>71</v>
      </c>
    </row>
    <row r="23" spans="1:13" x14ac:dyDescent="0.25">
      <c r="A23" t="s">
        <v>13</v>
      </c>
      <c r="B23" t="s">
        <v>26</v>
      </c>
      <c r="C23">
        <v>7303</v>
      </c>
      <c r="D23" t="s">
        <v>66</v>
      </c>
      <c r="E23" t="str">
        <f>VLOOKUP(D:D,Hoja2!A:B,2,FALSE)</f>
        <v>NATUSUR SA</v>
      </c>
      <c r="F23" t="s">
        <v>29</v>
      </c>
      <c r="G23" t="s">
        <v>18</v>
      </c>
      <c r="H23" t="s">
        <v>66</v>
      </c>
      <c r="I23" t="s">
        <v>44</v>
      </c>
      <c r="J23" s="1">
        <v>31118945</v>
      </c>
      <c r="K23" s="1">
        <v>75097680.400000006</v>
      </c>
      <c r="L23" t="s">
        <v>24</v>
      </c>
      <c r="M23" t="s">
        <v>72</v>
      </c>
    </row>
    <row r="24" spans="1:13" x14ac:dyDescent="0.25">
      <c r="A24" t="s">
        <v>13</v>
      </c>
      <c r="B24" t="s">
        <v>73</v>
      </c>
      <c r="C24">
        <v>783</v>
      </c>
      <c r="D24" t="s">
        <v>74</v>
      </c>
      <c r="E24" t="str">
        <f>VLOOKUP(D:D,Hoja2!A:B,2,FALSE)</f>
        <v>AGUSTINER SA</v>
      </c>
      <c r="F24" t="s">
        <v>20</v>
      </c>
      <c r="G24" t="s">
        <v>61</v>
      </c>
      <c r="H24" t="s">
        <v>74</v>
      </c>
      <c r="I24" t="s">
        <v>75</v>
      </c>
      <c r="J24" s="1">
        <v>280180.58</v>
      </c>
      <c r="K24" s="1">
        <v>280180.58</v>
      </c>
      <c r="L24" t="s">
        <v>76</v>
      </c>
      <c r="M24" t="s">
        <v>77</v>
      </c>
    </row>
    <row r="25" spans="1:13" x14ac:dyDescent="0.25">
      <c r="A25" t="s">
        <v>13</v>
      </c>
      <c r="B25" t="s">
        <v>73</v>
      </c>
      <c r="C25">
        <v>839</v>
      </c>
      <c r="D25" t="s">
        <v>74</v>
      </c>
      <c r="E25" t="str">
        <f>VLOOKUP(D:D,Hoja2!A:B,2,FALSE)</f>
        <v>AGUSTINER SA</v>
      </c>
      <c r="F25" t="s">
        <v>20</v>
      </c>
      <c r="G25" t="s">
        <v>61</v>
      </c>
      <c r="H25" t="s">
        <v>74</v>
      </c>
      <c r="I25" t="s">
        <v>78</v>
      </c>
      <c r="J25" s="1">
        <v>288058.21999999997</v>
      </c>
      <c r="K25" s="1">
        <v>568238.80000000005</v>
      </c>
      <c r="L25" t="s">
        <v>76</v>
      </c>
      <c r="M25" t="s">
        <v>79</v>
      </c>
    </row>
    <row r="26" spans="1:13" x14ac:dyDescent="0.25">
      <c r="A26" t="s">
        <v>13</v>
      </c>
      <c r="B26" t="s">
        <v>73</v>
      </c>
      <c r="C26">
        <v>847</v>
      </c>
      <c r="D26" t="s">
        <v>74</v>
      </c>
      <c r="E26" t="str">
        <f>VLOOKUP(D:D,Hoja2!A:B,2,FALSE)</f>
        <v>AGUSTINER SA</v>
      </c>
      <c r="F26" t="s">
        <v>20</v>
      </c>
      <c r="G26" t="s">
        <v>61</v>
      </c>
      <c r="H26" t="s">
        <v>74</v>
      </c>
      <c r="I26" t="s">
        <v>80</v>
      </c>
      <c r="J26" s="1">
        <v>287907.42</v>
      </c>
      <c r="K26" s="1">
        <v>856146.22</v>
      </c>
      <c r="L26" t="s">
        <v>76</v>
      </c>
      <c r="M26" t="s">
        <v>81</v>
      </c>
    </row>
    <row r="27" spans="1:13" x14ac:dyDescent="0.25">
      <c r="A27" t="s">
        <v>13</v>
      </c>
      <c r="B27" t="s">
        <v>73</v>
      </c>
      <c r="C27">
        <v>848</v>
      </c>
      <c r="D27" t="s">
        <v>74</v>
      </c>
      <c r="E27" t="str">
        <f>VLOOKUP(D:D,Hoja2!A:B,2,FALSE)</f>
        <v>AGUSTINER SA</v>
      </c>
      <c r="F27" t="s">
        <v>20</v>
      </c>
      <c r="G27" t="s">
        <v>61</v>
      </c>
      <c r="H27" t="s">
        <v>74</v>
      </c>
      <c r="I27" t="s">
        <v>82</v>
      </c>
      <c r="J27" s="1">
        <v>57987.09</v>
      </c>
      <c r="K27" s="1">
        <v>914133.31</v>
      </c>
      <c r="L27" t="s">
        <v>76</v>
      </c>
      <c r="M27" t="s">
        <v>83</v>
      </c>
    </row>
    <row r="28" spans="1:13" x14ac:dyDescent="0.25">
      <c r="A28" t="s">
        <v>13</v>
      </c>
      <c r="B28" t="s">
        <v>73</v>
      </c>
      <c r="C28">
        <v>10000632</v>
      </c>
      <c r="D28" t="s">
        <v>84</v>
      </c>
      <c r="E28" t="str">
        <f>VLOOKUP(D:D,Hoja2!A:B,2,FALSE)</f>
        <v>ARHEHPEZ SA</v>
      </c>
      <c r="F28" t="s">
        <v>20</v>
      </c>
      <c r="G28" t="s">
        <v>18</v>
      </c>
      <c r="H28" t="s">
        <v>84</v>
      </c>
      <c r="I28" t="s">
        <v>85</v>
      </c>
      <c r="J28" s="1">
        <v>121</v>
      </c>
      <c r="K28" s="1">
        <v>121</v>
      </c>
      <c r="L28" t="s">
        <v>76</v>
      </c>
      <c r="M28" t="s">
        <v>86</v>
      </c>
    </row>
    <row r="29" spans="1:13" x14ac:dyDescent="0.25">
      <c r="A29" t="s">
        <v>13</v>
      </c>
      <c r="B29" t="s">
        <v>73</v>
      </c>
      <c r="C29">
        <v>10000636</v>
      </c>
      <c r="D29" t="s">
        <v>84</v>
      </c>
      <c r="E29" t="str">
        <f>VLOOKUP(D:D,Hoja2!A:B,2,FALSE)</f>
        <v>ARHEHPEZ SA</v>
      </c>
      <c r="F29" t="s">
        <v>20</v>
      </c>
      <c r="G29" t="s">
        <v>18</v>
      </c>
      <c r="H29" t="s">
        <v>84</v>
      </c>
      <c r="I29" t="s">
        <v>87</v>
      </c>
      <c r="J29" s="1">
        <v>12584</v>
      </c>
      <c r="K29" s="1">
        <v>12705</v>
      </c>
      <c r="L29" t="s">
        <v>76</v>
      </c>
      <c r="M29" t="s">
        <v>88</v>
      </c>
    </row>
    <row r="30" spans="1:13" x14ac:dyDescent="0.25">
      <c r="A30" t="s">
        <v>13</v>
      </c>
      <c r="B30" t="s">
        <v>26</v>
      </c>
      <c r="C30">
        <v>208</v>
      </c>
      <c r="D30" t="s">
        <v>89</v>
      </c>
      <c r="E30" t="str">
        <f>VLOOKUP(D:D,Hoja2!A:B,2,FALSE)</f>
        <v>FRIGOSUR SRL</v>
      </c>
      <c r="F30" t="s">
        <v>17</v>
      </c>
      <c r="G30" t="s">
        <v>18</v>
      </c>
      <c r="H30" t="s">
        <v>89</v>
      </c>
      <c r="I30" t="s">
        <v>91</v>
      </c>
      <c r="J30" s="1">
        <v>125090.63</v>
      </c>
      <c r="K30" s="1">
        <v>125090.63</v>
      </c>
      <c r="L30" t="s">
        <v>24</v>
      </c>
      <c r="M30" t="s">
        <v>92</v>
      </c>
    </row>
    <row r="31" spans="1:13" x14ac:dyDescent="0.25">
      <c r="A31" t="s">
        <v>13</v>
      </c>
      <c r="B31" t="s">
        <v>26</v>
      </c>
      <c r="C31">
        <v>223</v>
      </c>
      <c r="D31" t="s">
        <v>89</v>
      </c>
      <c r="E31" t="str">
        <f>VLOOKUP(D:D,Hoja2!A:B,2,FALSE)</f>
        <v>FRIGOSUR SRL</v>
      </c>
      <c r="F31" t="s">
        <v>17</v>
      </c>
      <c r="G31" t="s">
        <v>18</v>
      </c>
      <c r="H31" t="s">
        <v>89</v>
      </c>
      <c r="I31" t="s">
        <v>91</v>
      </c>
      <c r="J31" s="1">
        <v>126985.94</v>
      </c>
      <c r="K31" s="1">
        <v>252076.57</v>
      </c>
      <c r="L31" t="s">
        <v>24</v>
      </c>
      <c r="M31" t="s">
        <v>93</v>
      </c>
    </row>
    <row r="32" spans="1:13" x14ac:dyDescent="0.25">
      <c r="A32" t="s">
        <v>13</v>
      </c>
      <c r="B32" t="s">
        <v>26</v>
      </c>
      <c r="C32">
        <v>208</v>
      </c>
      <c r="D32" t="s">
        <v>89</v>
      </c>
      <c r="E32" t="str">
        <f>VLOOKUP(D:D,Hoja2!A:B,2,FALSE)</f>
        <v>FRIGOSUR SRL</v>
      </c>
      <c r="F32" t="s">
        <v>17</v>
      </c>
      <c r="G32" t="s">
        <v>61</v>
      </c>
      <c r="H32" t="s">
        <v>89</v>
      </c>
      <c r="I32" t="s">
        <v>94</v>
      </c>
      <c r="J32" s="1">
        <v>-125090.63</v>
      </c>
      <c r="K32" s="1">
        <v>126985.94</v>
      </c>
      <c r="L32" t="s">
        <v>24</v>
      </c>
      <c r="M32" t="s">
        <v>92</v>
      </c>
    </row>
    <row r="33" spans="1:13" x14ac:dyDescent="0.25">
      <c r="A33" t="s">
        <v>13</v>
      </c>
      <c r="B33" t="s">
        <v>26</v>
      </c>
      <c r="C33">
        <v>223</v>
      </c>
      <c r="D33" t="s">
        <v>89</v>
      </c>
      <c r="E33" t="str">
        <f>VLOOKUP(D:D,Hoja2!A:B,2,FALSE)</f>
        <v>FRIGOSUR SRL</v>
      </c>
      <c r="F33" t="s">
        <v>17</v>
      </c>
      <c r="G33" t="s">
        <v>61</v>
      </c>
      <c r="H33" t="s">
        <v>89</v>
      </c>
      <c r="I33" t="s">
        <v>94</v>
      </c>
      <c r="J33" s="1">
        <v>-126985.94</v>
      </c>
      <c r="K33" s="1">
        <v>0</v>
      </c>
      <c r="L33" t="s">
        <v>24</v>
      </c>
      <c r="M33" t="s">
        <v>93</v>
      </c>
    </row>
    <row r="34" spans="1:13" x14ac:dyDescent="0.25">
      <c r="A34" t="s">
        <v>13</v>
      </c>
      <c r="B34" t="s">
        <v>26</v>
      </c>
      <c r="C34">
        <v>7276</v>
      </c>
      <c r="D34" t="s">
        <v>89</v>
      </c>
      <c r="E34" t="str">
        <f>VLOOKUP(D:D,Hoja2!A:B,2,FALSE)</f>
        <v>FRIGOSUR SRL</v>
      </c>
      <c r="F34" t="s">
        <v>17</v>
      </c>
      <c r="G34" t="s">
        <v>18</v>
      </c>
      <c r="H34" t="s">
        <v>89</v>
      </c>
      <c r="I34" t="s">
        <v>42</v>
      </c>
      <c r="J34" s="1">
        <v>24928750</v>
      </c>
      <c r="K34" s="1">
        <v>24928750</v>
      </c>
      <c r="L34" t="s">
        <v>24</v>
      </c>
      <c r="M34" t="s">
        <v>95</v>
      </c>
    </row>
    <row r="35" spans="1:13" x14ac:dyDescent="0.25">
      <c r="A35" t="s">
        <v>13</v>
      </c>
      <c r="B35" t="s">
        <v>26</v>
      </c>
      <c r="C35">
        <v>7295</v>
      </c>
      <c r="D35" t="s">
        <v>89</v>
      </c>
      <c r="E35" t="str">
        <f>VLOOKUP(D:D,Hoja2!A:B,2,FALSE)</f>
        <v>FRIGOSUR SRL</v>
      </c>
      <c r="F35" t="s">
        <v>17</v>
      </c>
      <c r="G35" t="s">
        <v>18</v>
      </c>
      <c r="H35" t="s">
        <v>89</v>
      </c>
      <c r="I35" t="s">
        <v>44</v>
      </c>
      <c r="J35" s="1">
        <v>28634375</v>
      </c>
      <c r="K35" s="1">
        <v>53563125</v>
      </c>
      <c r="L35" t="s">
        <v>24</v>
      </c>
      <c r="M35" t="s">
        <v>96</v>
      </c>
    </row>
    <row r="36" spans="1:13" x14ac:dyDescent="0.25">
      <c r="A36" t="s">
        <v>13</v>
      </c>
      <c r="B36" t="s">
        <v>73</v>
      </c>
      <c r="C36">
        <v>100000001</v>
      </c>
      <c r="D36" t="s">
        <v>97</v>
      </c>
      <c r="E36" t="str">
        <f>VLOOKUP(D:D,Hoja2!A:B,2,FALSE)</f>
        <v>O. Y J. DI MARCO</v>
      </c>
      <c r="F36" t="s">
        <v>20</v>
      </c>
      <c r="G36" t="s">
        <v>18</v>
      </c>
      <c r="H36" t="s">
        <v>97</v>
      </c>
      <c r="I36" t="s">
        <v>98</v>
      </c>
      <c r="J36" s="1">
        <v>13522.44</v>
      </c>
      <c r="K36" s="1">
        <v>13522.44</v>
      </c>
      <c r="L36" t="s">
        <v>76</v>
      </c>
      <c r="M36" t="s">
        <v>99</v>
      </c>
    </row>
    <row r="37" spans="1:13" x14ac:dyDescent="0.25">
      <c r="A37" t="s">
        <v>13</v>
      </c>
      <c r="B37" t="s">
        <v>100</v>
      </c>
      <c r="C37">
        <v>49</v>
      </c>
      <c r="D37" t="s">
        <v>97</v>
      </c>
      <c r="E37" t="str">
        <f>VLOOKUP(D:D,Hoja2!A:B,2,FALSE)</f>
        <v>O. Y J. DI MARCO</v>
      </c>
      <c r="F37" t="s">
        <v>20</v>
      </c>
      <c r="G37" t="s">
        <v>18</v>
      </c>
      <c r="H37" t="s">
        <v>97</v>
      </c>
      <c r="I37" t="s">
        <v>101</v>
      </c>
      <c r="J37" s="1">
        <v>-13522.44</v>
      </c>
      <c r="K37" s="1">
        <v>0</v>
      </c>
      <c r="L37" t="s">
        <v>76</v>
      </c>
      <c r="M37" t="s">
        <v>102</v>
      </c>
    </row>
    <row r="38" spans="1:13" x14ac:dyDescent="0.25">
      <c r="A38" t="s">
        <v>13</v>
      </c>
      <c r="B38" t="s">
        <v>26</v>
      </c>
      <c r="C38">
        <v>2118</v>
      </c>
      <c r="D38" t="s">
        <v>103</v>
      </c>
      <c r="E38" t="str">
        <f>VLOOKUP(D:D,Hoja2!A:B,2,FALSE)</f>
        <v>ANTONIO MIRALLES SA</v>
      </c>
      <c r="F38" t="s">
        <v>105</v>
      </c>
      <c r="G38" t="s">
        <v>18</v>
      </c>
      <c r="H38" t="s">
        <v>103</v>
      </c>
      <c r="I38" t="s">
        <v>106</v>
      </c>
      <c r="J38" s="1">
        <v>5531256.6600000001</v>
      </c>
      <c r="K38" s="1">
        <v>5531256.6600000001</v>
      </c>
      <c r="L38" t="s">
        <v>24</v>
      </c>
      <c r="M38" t="s">
        <v>107</v>
      </c>
    </row>
    <row r="39" spans="1:13" x14ac:dyDescent="0.25">
      <c r="A39" t="s">
        <v>13</v>
      </c>
      <c r="B39" t="s">
        <v>32</v>
      </c>
      <c r="C39">
        <v>96</v>
      </c>
      <c r="D39" t="s">
        <v>103</v>
      </c>
      <c r="E39" t="str">
        <f>VLOOKUP(D:D,Hoja2!A:B,2,FALSE)</f>
        <v>ANTONIO MIRALLES SA</v>
      </c>
      <c r="F39" t="s">
        <v>105</v>
      </c>
      <c r="G39" t="s">
        <v>18</v>
      </c>
      <c r="H39" t="s">
        <v>103</v>
      </c>
      <c r="I39" t="s">
        <v>108</v>
      </c>
      <c r="J39" s="1">
        <v>-5531256.6699999999</v>
      </c>
      <c r="K39" s="1">
        <v>-9.9999997764825804E-3</v>
      </c>
      <c r="L39" t="s">
        <v>24</v>
      </c>
      <c r="M39" t="s">
        <v>109</v>
      </c>
    </row>
    <row r="40" spans="1:13" x14ac:dyDescent="0.25">
      <c r="A40" t="s">
        <v>13</v>
      </c>
      <c r="B40" t="s">
        <v>60</v>
      </c>
      <c r="C40">
        <v>28</v>
      </c>
      <c r="D40" t="s">
        <v>103</v>
      </c>
      <c r="E40" t="str">
        <f>VLOOKUP(D:D,Hoja2!A:B,2,FALSE)</f>
        <v>ANTONIO MIRALLES SA</v>
      </c>
      <c r="F40" t="s">
        <v>105</v>
      </c>
      <c r="G40" t="s">
        <v>61</v>
      </c>
      <c r="H40" t="s">
        <v>103</v>
      </c>
      <c r="I40" t="s">
        <v>62</v>
      </c>
      <c r="J40" s="1">
        <v>0.01</v>
      </c>
      <c r="K40" s="1">
        <v>2.23517418115882E-10</v>
      </c>
      <c r="L40" t="s">
        <v>63</v>
      </c>
      <c r="M40" t="s">
        <v>110</v>
      </c>
    </row>
    <row r="41" spans="1:13" x14ac:dyDescent="0.25">
      <c r="A41" t="s">
        <v>13</v>
      </c>
      <c r="B41" t="s">
        <v>73</v>
      </c>
      <c r="C41">
        <v>1065</v>
      </c>
      <c r="D41" t="s">
        <v>111</v>
      </c>
      <c r="E41" t="str">
        <f>VLOOKUP(D:D,Hoja2!A:B,2,FALSE)</f>
        <v>27 DE NOVIEMBRE SA</v>
      </c>
      <c r="F41" t="s">
        <v>29</v>
      </c>
      <c r="G41" t="s">
        <v>61</v>
      </c>
      <c r="H41" t="s">
        <v>111</v>
      </c>
      <c r="I41" t="s">
        <v>113</v>
      </c>
      <c r="J41" s="1">
        <v>0.01</v>
      </c>
      <c r="K41" s="1">
        <v>0.01</v>
      </c>
      <c r="L41" t="s">
        <v>76</v>
      </c>
      <c r="M41" t="s">
        <v>114</v>
      </c>
    </row>
    <row r="42" spans="1:13" x14ac:dyDescent="0.25">
      <c r="A42" t="s">
        <v>13</v>
      </c>
      <c r="B42" t="s">
        <v>73</v>
      </c>
      <c r="C42">
        <v>1079</v>
      </c>
      <c r="D42" t="s">
        <v>111</v>
      </c>
      <c r="E42" t="str">
        <f>VLOOKUP(D:D,Hoja2!A:B,2,FALSE)</f>
        <v>27 DE NOVIEMBRE SA</v>
      </c>
      <c r="F42" t="s">
        <v>29</v>
      </c>
      <c r="G42" t="s">
        <v>61</v>
      </c>
      <c r="H42" t="s">
        <v>111</v>
      </c>
      <c r="I42" t="s">
        <v>115</v>
      </c>
      <c r="J42" s="1">
        <v>-0.01</v>
      </c>
      <c r="K42" s="1">
        <v>0</v>
      </c>
      <c r="L42" t="s">
        <v>76</v>
      </c>
      <c r="M42" t="s">
        <v>116</v>
      </c>
    </row>
    <row r="43" spans="1:13" x14ac:dyDescent="0.25">
      <c r="A43" t="s">
        <v>13</v>
      </c>
      <c r="B43" t="s">
        <v>26</v>
      </c>
      <c r="C43">
        <v>204</v>
      </c>
      <c r="D43" t="s">
        <v>111</v>
      </c>
      <c r="E43" t="str">
        <f>VLOOKUP(D:D,Hoja2!A:B,2,FALSE)</f>
        <v>27 DE NOVIEMBRE SA</v>
      </c>
      <c r="F43" t="s">
        <v>29</v>
      </c>
      <c r="G43" t="s">
        <v>18</v>
      </c>
      <c r="H43" t="s">
        <v>111</v>
      </c>
      <c r="I43" t="s">
        <v>91</v>
      </c>
      <c r="J43" s="1">
        <v>111104</v>
      </c>
      <c r="K43" s="1">
        <v>111104</v>
      </c>
      <c r="L43" t="s">
        <v>24</v>
      </c>
      <c r="M43" t="s">
        <v>117</v>
      </c>
    </row>
    <row r="44" spans="1:13" x14ac:dyDescent="0.25">
      <c r="A44" t="s">
        <v>13</v>
      </c>
      <c r="B44" t="s">
        <v>26</v>
      </c>
      <c r="C44">
        <v>204</v>
      </c>
      <c r="D44" t="s">
        <v>111</v>
      </c>
      <c r="E44" t="str">
        <f>VLOOKUP(D:D,Hoja2!A:B,2,FALSE)</f>
        <v>27 DE NOVIEMBRE SA</v>
      </c>
      <c r="F44" t="s">
        <v>29</v>
      </c>
      <c r="G44" t="s">
        <v>61</v>
      </c>
      <c r="H44" t="s">
        <v>111</v>
      </c>
      <c r="I44" t="s">
        <v>118</v>
      </c>
      <c r="J44" s="1">
        <v>-111104</v>
      </c>
      <c r="K44" s="1">
        <v>0</v>
      </c>
      <c r="L44" t="s">
        <v>24</v>
      </c>
      <c r="M44" t="s">
        <v>117</v>
      </c>
    </row>
    <row r="45" spans="1:13" x14ac:dyDescent="0.25">
      <c r="A45" t="s">
        <v>13</v>
      </c>
      <c r="B45" t="s">
        <v>26</v>
      </c>
      <c r="C45">
        <v>798</v>
      </c>
      <c r="D45" t="s">
        <v>111</v>
      </c>
      <c r="E45" t="str">
        <f>VLOOKUP(D:D,Hoja2!A:B,2,FALSE)</f>
        <v>27 DE NOVIEMBRE SA</v>
      </c>
      <c r="F45" t="s">
        <v>29</v>
      </c>
      <c r="G45" t="s">
        <v>18</v>
      </c>
      <c r="H45" t="s">
        <v>111</v>
      </c>
      <c r="I45" t="s">
        <v>119</v>
      </c>
      <c r="J45" s="1">
        <v>230384</v>
      </c>
      <c r="K45" s="1">
        <v>230384</v>
      </c>
      <c r="L45" t="s">
        <v>24</v>
      </c>
      <c r="M45" t="s">
        <v>120</v>
      </c>
    </row>
    <row r="46" spans="1:13" x14ac:dyDescent="0.25">
      <c r="A46" t="s">
        <v>13</v>
      </c>
      <c r="B46" t="s">
        <v>32</v>
      </c>
      <c r="C46">
        <v>40</v>
      </c>
      <c r="D46" t="s">
        <v>111</v>
      </c>
      <c r="E46" t="str">
        <f>VLOOKUP(D:D,Hoja2!A:B,2,FALSE)</f>
        <v>27 DE NOVIEMBRE SA</v>
      </c>
      <c r="F46" t="s">
        <v>29</v>
      </c>
      <c r="G46" t="s">
        <v>18</v>
      </c>
      <c r="H46" t="s">
        <v>111</v>
      </c>
      <c r="I46" t="s">
        <v>121</v>
      </c>
      <c r="J46" s="1">
        <v>-230384</v>
      </c>
      <c r="K46" s="1">
        <v>0</v>
      </c>
      <c r="L46" t="s">
        <v>24</v>
      </c>
      <c r="M46" t="s">
        <v>122</v>
      </c>
    </row>
    <row r="47" spans="1:13" x14ac:dyDescent="0.25">
      <c r="A47" t="s">
        <v>13</v>
      </c>
      <c r="B47" t="s">
        <v>14</v>
      </c>
      <c r="C47">
        <v>6713</v>
      </c>
      <c r="D47" t="s">
        <v>111</v>
      </c>
      <c r="E47" t="str">
        <f>VLOOKUP(D:D,Hoja2!A:B,2,FALSE)</f>
        <v>27 DE NOVIEMBRE SA</v>
      </c>
      <c r="F47" t="s">
        <v>29</v>
      </c>
      <c r="G47" t="s">
        <v>18</v>
      </c>
      <c r="H47" t="s">
        <v>111</v>
      </c>
      <c r="I47" t="s">
        <v>123</v>
      </c>
      <c r="J47" s="1">
        <v>-15541.35</v>
      </c>
      <c r="K47" s="1">
        <v>-15541.35</v>
      </c>
      <c r="L47" t="s">
        <v>20</v>
      </c>
      <c r="M47" t="s">
        <v>124</v>
      </c>
    </row>
    <row r="48" spans="1:13" x14ac:dyDescent="0.25">
      <c r="A48" t="s">
        <v>13</v>
      </c>
      <c r="B48" t="s">
        <v>26</v>
      </c>
      <c r="C48">
        <v>3052</v>
      </c>
      <c r="D48" t="s">
        <v>111</v>
      </c>
      <c r="E48" t="str">
        <f>VLOOKUP(D:D,Hoja2!A:B,2,FALSE)</f>
        <v>27 DE NOVIEMBRE SA</v>
      </c>
      <c r="F48" t="s">
        <v>29</v>
      </c>
      <c r="G48" t="s">
        <v>18</v>
      </c>
      <c r="H48" t="s">
        <v>111</v>
      </c>
      <c r="I48" t="s">
        <v>125</v>
      </c>
      <c r="J48" s="1">
        <v>15541.35</v>
      </c>
      <c r="K48" s="1">
        <v>0</v>
      </c>
      <c r="L48" t="s">
        <v>24</v>
      </c>
      <c r="M48" t="s">
        <v>126</v>
      </c>
    </row>
    <row r="49" spans="1:13" x14ac:dyDescent="0.25">
      <c r="A49" t="s">
        <v>13</v>
      </c>
      <c r="B49" t="s">
        <v>14</v>
      </c>
      <c r="C49">
        <v>9591</v>
      </c>
      <c r="D49" t="s">
        <v>111</v>
      </c>
      <c r="E49" t="str">
        <f>VLOOKUP(D:D,Hoja2!A:B,2,FALSE)</f>
        <v>27 DE NOVIEMBRE SA</v>
      </c>
      <c r="F49" t="s">
        <v>29</v>
      </c>
      <c r="G49" t="s">
        <v>18</v>
      </c>
      <c r="H49" t="s">
        <v>111</v>
      </c>
      <c r="I49" t="s">
        <v>127</v>
      </c>
      <c r="J49" s="1">
        <v>-450056.42</v>
      </c>
      <c r="K49" s="1">
        <v>-450056.42</v>
      </c>
      <c r="L49" t="s">
        <v>20</v>
      </c>
      <c r="M49" t="s">
        <v>128</v>
      </c>
    </row>
    <row r="50" spans="1:13" x14ac:dyDescent="0.25">
      <c r="A50" t="s">
        <v>13</v>
      </c>
      <c r="B50" t="s">
        <v>26</v>
      </c>
      <c r="C50">
        <v>7227</v>
      </c>
      <c r="D50" t="s">
        <v>111</v>
      </c>
      <c r="E50" t="str">
        <f>VLOOKUP(D:D,Hoja2!A:B,2,FALSE)</f>
        <v>27 DE NOVIEMBRE SA</v>
      </c>
      <c r="F50" t="s">
        <v>29</v>
      </c>
      <c r="G50" t="s">
        <v>18</v>
      </c>
      <c r="H50" t="s">
        <v>111</v>
      </c>
      <c r="I50" t="s">
        <v>38</v>
      </c>
      <c r="J50" s="1">
        <v>19568587.5</v>
      </c>
      <c r="K50" s="1">
        <v>19118531.079999998</v>
      </c>
      <c r="L50" t="s">
        <v>24</v>
      </c>
      <c r="M50" t="s">
        <v>129</v>
      </c>
    </row>
    <row r="51" spans="1:13" x14ac:dyDescent="0.25">
      <c r="A51" t="s">
        <v>13</v>
      </c>
      <c r="B51" t="s">
        <v>26</v>
      </c>
      <c r="C51">
        <v>7246</v>
      </c>
      <c r="D51" t="s">
        <v>111</v>
      </c>
      <c r="E51" t="str">
        <f>VLOOKUP(D:D,Hoja2!A:B,2,FALSE)</f>
        <v>27 DE NOVIEMBRE SA</v>
      </c>
      <c r="F51" t="s">
        <v>29</v>
      </c>
      <c r="G51" t="s">
        <v>18</v>
      </c>
      <c r="H51" t="s">
        <v>111</v>
      </c>
      <c r="I51" t="s">
        <v>40</v>
      </c>
      <c r="J51" s="1">
        <v>14146987.5</v>
      </c>
      <c r="K51" s="1">
        <v>33265518.579999998</v>
      </c>
      <c r="L51" t="s">
        <v>24</v>
      </c>
      <c r="M51" t="s">
        <v>130</v>
      </c>
    </row>
    <row r="52" spans="1:13" x14ac:dyDescent="0.25">
      <c r="A52" t="s">
        <v>13</v>
      </c>
      <c r="B52" t="s">
        <v>26</v>
      </c>
      <c r="C52">
        <v>7271</v>
      </c>
      <c r="D52" t="s">
        <v>111</v>
      </c>
      <c r="E52" t="str">
        <f>VLOOKUP(D:D,Hoja2!A:B,2,FALSE)</f>
        <v>27 DE NOVIEMBRE SA</v>
      </c>
      <c r="F52" t="s">
        <v>29</v>
      </c>
      <c r="G52" t="s">
        <v>18</v>
      </c>
      <c r="H52" t="s">
        <v>111</v>
      </c>
      <c r="I52" t="s">
        <v>42</v>
      </c>
      <c r="J52" s="1">
        <v>10447875</v>
      </c>
      <c r="K52" s="1">
        <v>43713393.579999998</v>
      </c>
      <c r="L52" t="s">
        <v>24</v>
      </c>
      <c r="M52" t="s">
        <v>131</v>
      </c>
    </row>
    <row r="53" spans="1:13" x14ac:dyDescent="0.25">
      <c r="A53" t="s">
        <v>13</v>
      </c>
      <c r="B53" t="s">
        <v>26</v>
      </c>
      <c r="C53">
        <v>7291</v>
      </c>
      <c r="D53" t="s">
        <v>111</v>
      </c>
      <c r="E53" t="str">
        <f>VLOOKUP(D:D,Hoja2!A:B,2,FALSE)</f>
        <v>27 DE NOVIEMBRE SA</v>
      </c>
      <c r="F53" t="s">
        <v>29</v>
      </c>
      <c r="G53" t="s">
        <v>18</v>
      </c>
      <c r="H53" t="s">
        <v>111</v>
      </c>
      <c r="I53" t="s">
        <v>44</v>
      </c>
      <c r="J53" s="1">
        <v>14231700</v>
      </c>
      <c r="K53" s="1">
        <v>57945093.579999998</v>
      </c>
      <c r="L53" t="s">
        <v>24</v>
      </c>
      <c r="M53" t="s">
        <v>132</v>
      </c>
    </row>
    <row r="54" spans="1:13" x14ac:dyDescent="0.25">
      <c r="A54" t="s">
        <v>13</v>
      </c>
      <c r="B54" t="s">
        <v>26</v>
      </c>
      <c r="C54">
        <v>7307</v>
      </c>
      <c r="D54" t="s">
        <v>111</v>
      </c>
      <c r="E54" t="str">
        <f>VLOOKUP(D:D,Hoja2!A:B,2,FALSE)</f>
        <v>27 DE NOVIEMBRE SA</v>
      </c>
      <c r="F54" t="s">
        <v>29</v>
      </c>
      <c r="G54" t="s">
        <v>18</v>
      </c>
      <c r="H54" t="s">
        <v>111</v>
      </c>
      <c r="I54" t="s">
        <v>133</v>
      </c>
      <c r="J54" s="1">
        <v>10024312.5</v>
      </c>
      <c r="K54" s="1">
        <v>67969406.079999998</v>
      </c>
      <c r="L54" t="s">
        <v>24</v>
      </c>
      <c r="M54" t="s">
        <v>134</v>
      </c>
    </row>
    <row r="55" spans="1:13" x14ac:dyDescent="0.25">
      <c r="A55" t="s">
        <v>13</v>
      </c>
      <c r="B55" t="s">
        <v>26</v>
      </c>
      <c r="C55">
        <v>210</v>
      </c>
      <c r="D55" t="s">
        <v>135</v>
      </c>
      <c r="E55" t="str">
        <f>VLOOKUP(D:D,Hoja2!A:B,2,FALSE)</f>
        <v>MARISQUERIA SANTA RITA SRL</v>
      </c>
      <c r="F55" t="s">
        <v>29</v>
      </c>
      <c r="G55" t="s">
        <v>18</v>
      </c>
      <c r="H55" t="s">
        <v>135</v>
      </c>
      <c r="I55" t="s">
        <v>91</v>
      </c>
      <c r="J55" s="1">
        <v>145507.25</v>
      </c>
      <c r="K55" s="1">
        <v>145507.25</v>
      </c>
      <c r="L55" t="s">
        <v>24</v>
      </c>
      <c r="M55" t="s">
        <v>137</v>
      </c>
    </row>
    <row r="56" spans="1:13" x14ac:dyDescent="0.25">
      <c r="A56" t="s">
        <v>13</v>
      </c>
      <c r="B56" t="s">
        <v>26</v>
      </c>
      <c r="C56">
        <v>229</v>
      </c>
      <c r="D56" t="s">
        <v>135</v>
      </c>
      <c r="E56" t="str">
        <f>VLOOKUP(D:D,Hoja2!A:B,2,FALSE)</f>
        <v>MARISQUERIA SANTA RITA SRL</v>
      </c>
      <c r="F56" t="s">
        <v>29</v>
      </c>
      <c r="G56" t="s">
        <v>18</v>
      </c>
      <c r="H56" t="s">
        <v>135</v>
      </c>
      <c r="I56" t="s">
        <v>91</v>
      </c>
      <c r="J56" s="1">
        <v>83395.199999999997</v>
      </c>
      <c r="K56" s="1">
        <v>228902.45</v>
      </c>
      <c r="L56" t="s">
        <v>24</v>
      </c>
      <c r="M56" t="s">
        <v>138</v>
      </c>
    </row>
    <row r="57" spans="1:13" x14ac:dyDescent="0.25">
      <c r="A57" t="s">
        <v>13</v>
      </c>
      <c r="B57" t="s">
        <v>26</v>
      </c>
      <c r="C57">
        <v>210</v>
      </c>
      <c r="D57" t="s">
        <v>135</v>
      </c>
      <c r="E57" t="str">
        <f>VLOOKUP(D:D,Hoja2!A:B,2,FALSE)</f>
        <v>MARISQUERIA SANTA RITA SRL</v>
      </c>
      <c r="F57" t="s">
        <v>29</v>
      </c>
      <c r="G57" t="s">
        <v>61</v>
      </c>
      <c r="H57" t="s">
        <v>135</v>
      </c>
      <c r="I57" t="s">
        <v>139</v>
      </c>
      <c r="J57" s="1">
        <v>-145507.25</v>
      </c>
      <c r="K57" s="1">
        <v>83395.199999999997</v>
      </c>
      <c r="L57" t="s">
        <v>24</v>
      </c>
      <c r="M57" t="s">
        <v>137</v>
      </c>
    </row>
    <row r="58" spans="1:13" x14ac:dyDescent="0.25">
      <c r="A58" t="s">
        <v>13</v>
      </c>
      <c r="B58" t="s">
        <v>26</v>
      </c>
      <c r="C58">
        <v>229</v>
      </c>
      <c r="D58" t="s">
        <v>135</v>
      </c>
      <c r="E58" t="str">
        <f>VLOOKUP(D:D,Hoja2!A:B,2,FALSE)</f>
        <v>MARISQUERIA SANTA RITA SRL</v>
      </c>
      <c r="F58" t="s">
        <v>29</v>
      </c>
      <c r="G58" t="s">
        <v>61</v>
      </c>
      <c r="H58" t="s">
        <v>135</v>
      </c>
      <c r="I58" t="s">
        <v>139</v>
      </c>
      <c r="J58" s="1">
        <v>-83395.199999999997</v>
      </c>
      <c r="K58" s="1">
        <v>1.45519152283669E-11</v>
      </c>
      <c r="L58" t="s">
        <v>24</v>
      </c>
      <c r="M58" t="s">
        <v>138</v>
      </c>
    </row>
    <row r="59" spans="1:13" x14ac:dyDescent="0.25">
      <c r="A59" t="s">
        <v>13</v>
      </c>
      <c r="B59" t="s">
        <v>26</v>
      </c>
      <c r="C59">
        <v>289</v>
      </c>
      <c r="D59" t="s">
        <v>135</v>
      </c>
      <c r="E59" t="str">
        <f>VLOOKUP(D:D,Hoja2!A:B,2,FALSE)</f>
        <v>MARISQUERIA SANTA RITA SRL</v>
      </c>
      <c r="F59" t="s">
        <v>29</v>
      </c>
      <c r="G59" t="s">
        <v>18</v>
      </c>
      <c r="H59" t="s">
        <v>135</v>
      </c>
      <c r="I59" t="s">
        <v>140</v>
      </c>
      <c r="J59" s="1">
        <v>143745.03</v>
      </c>
      <c r="K59" s="1">
        <v>143745.03</v>
      </c>
      <c r="L59" t="s">
        <v>24</v>
      </c>
      <c r="M59" t="s">
        <v>141</v>
      </c>
    </row>
    <row r="60" spans="1:13" x14ac:dyDescent="0.25">
      <c r="A60" t="s">
        <v>13</v>
      </c>
      <c r="B60" t="s">
        <v>32</v>
      </c>
      <c r="C60">
        <v>20</v>
      </c>
      <c r="D60" t="s">
        <v>135</v>
      </c>
      <c r="E60" t="str">
        <f>VLOOKUP(D:D,Hoja2!A:B,2,FALSE)</f>
        <v>MARISQUERIA SANTA RITA SRL</v>
      </c>
      <c r="F60" t="s">
        <v>29</v>
      </c>
      <c r="G60" t="s">
        <v>18</v>
      </c>
      <c r="H60" t="s">
        <v>135</v>
      </c>
      <c r="I60" t="s">
        <v>140</v>
      </c>
      <c r="J60" s="1">
        <v>-143745.03</v>
      </c>
      <c r="K60" s="1">
        <v>2.91038304567337E-11</v>
      </c>
      <c r="L60" t="s">
        <v>24</v>
      </c>
      <c r="M60" t="s">
        <v>142</v>
      </c>
    </row>
    <row r="61" spans="1:13" x14ac:dyDescent="0.25">
      <c r="A61" t="s">
        <v>13</v>
      </c>
      <c r="B61" t="s">
        <v>26</v>
      </c>
      <c r="C61">
        <v>4154</v>
      </c>
      <c r="D61" t="s">
        <v>135</v>
      </c>
      <c r="E61" t="str">
        <f>VLOOKUP(D:D,Hoja2!A:B,2,FALSE)</f>
        <v>MARISQUERIA SANTA RITA SRL</v>
      </c>
      <c r="F61" t="s">
        <v>29</v>
      </c>
      <c r="G61" t="s">
        <v>18</v>
      </c>
      <c r="H61" t="s">
        <v>135</v>
      </c>
      <c r="I61" t="s">
        <v>143</v>
      </c>
      <c r="J61" s="1">
        <v>2095500</v>
      </c>
      <c r="K61" s="1">
        <v>2095500</v>
      </c>
      <c r="L61" t="s">
        <v>24</v>
      </c>
      <c r="M61" t="s">
        <v>144</v>
      </c>
    </row>
    <row r="62" spans="1:13" x14ac:dyDescent="0.25">
      <c r="A62" t="s">
        <v>13</v>
      </c>
      <c r="B62" t="s">
        <v>32</v>
      </c>
      <c r="C62">
        <v>189</v>
      </c>
      <c r="D62" t="s">
        <v>135</v>
      </c>
      <c r="E62" t="str">
        <f>VLOOKUP(D:D,Hoja2!A:B,2,FALSE)</f>
        <v>MARISQUERIA SANTA RITA SRL</v>
      </c>
      <c r="F62" t="s">
        <v>29</v>
      </c>
      <c r="G62" t="s">
        <v>18</v>
      </c>
      <c r="H62" t="s">
        <v>135</v>
      </c>
      <c r="I62" t="s">
        <v>143</v>
      </c>
      <c r="J62" s="1">
        <v>-1524290.51</v>
      </c>
      <c r="K62" s="1">
        <v>571209.49</v>
      </c>
      <c r="L62" t="s">
        <v>24</v>
      </c>
      <c r="M62" t="s">
        <v>145</v>
      </c>
    </row>
    <row r="63" spans="1:13" x14ac:dyDescent="0.25">
      <c r="A63" t="s">
        <v>13</v>
      </c>
      <c r="B63" t="s">
        <v>26</v>
      </c>
      <c r="C63">
        <v>4165</v>
      </c>
      <c r="D63" t="s">
        <v>135</v>
      </c>
      <c r="E63" t="str">
        <f>VLOOKUP(D:D,Hoja2!A:B,2,FALSE)</f>
        <v>MARISQUERIA SANTA RITA SRL</v>
      </c>
      <c r="F63" t="s">
        <v>29</v>
      </c>
      <c r="G63" t="s">
        <v>18</v>
      </c>
      <c r="H63" t="s">
        <v>135</v>
      </c>
      <c r="I63" t="s">
        <v>146</v>
      </c>
      <c r="J63" s="1">
        <v>1341120</v>
      </c>
      <c r="K63" s="1">
        <v>1912329.49</v>
      </c>
      <c r="L63" t="s">
        <v>24</v>
      </c>
      <c r="M63" t="s">
        <v>147</v>
      </c>
    </row>
    <row r="64" spans="1:13" x14ac:dyDescent="0.25">
      <c r="A64" t="s">
        <v>13</v>
      </c>
      <c r="B64" t="s">
        <v>32</v>
      </c>
      <c r="C64">
        <v>195</v>
      </c>
      <c r="D64" t="s">
        <v>135</v>
      </c>
      <c r="E64" t="str">
        <f>VLOOKUP(D:D,Hoja2!A:B,2,FALSE)</f>
        <v>MARISQUERIA SANTA RITA SRL</v>
      </c>
      <c r="F64" t="s">
        <v>29</v>
      </c>
      <c r="G64" t="s">
        <v>18</v>
      </c>
      <c r="H64" t="s">
        <v>135</v>
      </c>
      <c r="I64" t="s">
        <v>146</v>
      </c>
      <c r="J64" s="1">
        <v>-3436620</v>
      </c>
      <c r="K64" s="1">
        <v>-1524290.51</v>
      </c>
      <c r="L64" t="s">
        <v>24</v>
      </c>
      <c r="M64" t="s">
        <v>148</v>
      </c>
    </row>
    <row r="65" spans="1:13" x14ac:dyDescent="0.25">
      <c r="A65" t="s">
        <v>13</v>
      </c>
      <c r="B65" t="s">
        <v>26</v>
      </c>
      <c r="C65">
        <v>4178</v>
      </c>
      <c r="D65" t="s">
        <v>135</v>
      </c>
      <c r="E65" t="str">
        <f>VLOOKUP(D:D,Hoja2!A:B,2,FALSE)</f>
        <v>MARISQUERIA SANTA RITA SRL</v>
      </c>
      <c r="F65" t="s">
        <v>29</v>
      </c>
      <c r="G65" t="s">
        <v>18</v>
      </c>
      <c r="H65" t="s">
        <v>135</v>
      </c>
      <c r="I65" t="s">
        <v>149</v>
      </c>
      <c r="J65" s="1">
        <v>1524290.51</v>
      </c>
      <c r="K65" s="1">
        <v>0</v>
      </c>
      <c r="L65" t="s">
        <v>24</v>
      </c>
      <c r="M65" t="s">
        <v>150</v>
      </c>
    </row>
    <row r="66" spans="1:13" x14ac:dyDescent="0.25">
      <c r="A66" t="s">
        <v>13</v>
      </c>
      <c r="B66" t="s">
        <v>26</v>
      </c>
      <c r="C66">
        <v>4349</v>
      </c>
      <c r="D66" t="s">
        <v>135</v>
      </c>
      <c r="E66" t="str">
        <f>VLOOKUP(D:D,Hoja2!A:B,2,FALSE)</f>
        <v>MARISQUERIA SANTA RITA SRL</v>
      </c>
      <c r="F66" t="s">
        <v>29</v>
      </c>
      <c r="G66" t="s">
        <v>18</v>
      </c>
      <c r="H66" t="s">
        <v>135</v>
      </c>
      <c r="I66" t="s">
        <v>151</v>
      </c>
      <c r="J66" s="1">
        <v>200000</v>
      </c>
      <c r="K66" s="1">
        <v>200000</v>
      </c>
      <c r="L66" t="s">
        <v>24</v>
      </c>
      <c r="M66" t="s">
        <v>152</v>
      </c>
    </row>
    <row r="67" spans="1:13" x14ac:dyDescent="0.25">
      <c r="A67" t="s">
        <v>13</v>
      </c>
      <c r="B67" t="s">
        <v>32</v>
      </c>
      <c r="C67">
        <v>203</v>
      </c>
      <c r="D67" t="s">
        <v>135</v>
      </c>
      <c r="E67" t="str">
        <f>VLOOKUP(D:D,Hoja2!A:B,2,FALSE)</f>
        <v>MARISQUERIA SANTA RITA SRL</v>
      </c>
      <c r="F67" t="s">
        <v>29</v>
      </c>
      <c r="G67" t="s">
        <v>18</v>
      </c>
      <c r="H67" t="s">
        <v>135</v>
      </c>
      <c r="I67" t="s">
        <v>151</v>
      </c>
      <c r="J67" s="1">
        <v>-200000</v>
      </c>
      <c r="K67" s="1">
        <v>0</v>
      </c>
      <c r="L67" t="s">
        <v>24</v>
      </c>
      <c r="M67" t="s">
        <v>153</v>
      </c>
    </row>
    <row r="68" spans="1:13" x14ac:dyDescent="0.25">
      <c r="A68" t="s">
        <v>13</v>
      </c>
      <c r="B68" t="s">
        <v>14</v>
      </c>
      <c r="C68">
        <v>8682</v>
      </c>
      <c r="D68" t="s">
        <v>135</v>
      </c>
      <c r="E68" t="str">
        <f>VLOOKUP(D:D,Hoja2!A:B,2,FALSE)</f>
        <v>MARISQUERIA SANTA RITA SRL</v>
      </c>
      <c r="F68" t="s">
        <v>29</v>
      </c>
      <c r="G68" t="s">
        <v>18</v>
      </c>
      <c r="H68" t="s">
        <v>135</v>
      </c>
      <c r="I68" t="s">
        <v>154</v>
      </c>
      <c r="J68" s="1">
        <v>-10000</v>
      </c>
      <c r="K68" s="1">
        <v>-10000</v>
      </c>
      <c r="L68" t="s">
        <v>20</v>
      </c>
      <c r="M68" t="s">
        <v>155</v>
      </c>
    </row>
    <row r="69" spans="1:13" x14ac:dyDescent="0.25">
      <c r="A69" t="s">
        <v>13</v>
      </c>
      <c r="B69" t="s">
        <v>26</v>
      </c>
      <c r="C69">
        <v>2</v>
      </c>
      <c r="D69" t="s">
        <v>156</v>
      </c>
      <c r="E69" t="str">
        <f>VLOOKUP(D:D,Hoja2!A:B,2,FALSE)</f>
        <v>PROYECTOS DEL MAR SRL</v>
      </c>
      <c r="F69" t="s">
        <v>17</v>
      </c>
      <c r="G69" t="s">
        <v>18</v>
      </c>
      <c r="H69" t="s">
        <v>156</v>
      </c>
      <c r="I69" t="s">
        <v>158</v>
      </c>
      <c r="J69" s="1">
        <v>91476</v>
      </c>
      <c r="K69" s="1">
        <v>91476</v>
      </c>
      <c r="L69" t="s">
        <v>24</v>
      </c>
      <c r="M69" t="s">
        <v>159</v>
      </c>
    </row>
    <row r="70" spans="1:13" x14ac:dyDescent="0.25">
      <c r="A70" t="s">
        <v>13</v>
      </c>
      <c r="B70" t="s">
        <v>26</v>
      </c>
      <c r="C70">
        <v>3</v>
      </c>
      <c r="D70" t="s">
        <v>156</v>
      </c>
      <c r="E70" t="str">
        <f>VLOOKUP(D:D,Hoja2!A:B,2,FALSE)</f>
        <v>PROYECTOS DEL MAR SRL</v>
      </c>
      <c r="F70" t="s">
        <v>17</v>
      </c>
      <c r="G70" t="s">
        <v>18</v>
      </c>
      <c r="H70" t="s">
        <v>156</v>
      </c>
      <c r="I70" t="s">
        <v>160</v>
      </c>
      <c r="J70" s="1">
        <v>91476</v>
      </c>
      <c r="K70" s="1">
        <v>182952</v>
      </c>
      <c r="L70" t="s">
        <v>24</v>
      </c>
      <c r="M70" t="s">
        <v>161</v>
      </c>
    </row>
    <row r="71" spans="1:13" x14ac:dyDescent="0.25">
      <c r="A71" t="s">
        <v>13</v>
      </c>
      <c r="B71" t="s">
        <v>32</v>
      </c>
      <c r="C71">
        <v>2</v>
      </c>
      <c r="D71" t="s">
        <v>156</v>
      </c>
      <c r="E71" t="str">
        <f>VLOOKUP(D:D,Hoja2!A:B,2,FALSE)</f>
        <v>PROYECTOS DEL MAR SRL</v>
      </c>
      <c r="F71" t="s">
        <v>17</v>
      </c>
      <c r="G71" t="s">
        <v>18</v>
      </c>
      <c r="H71" t="s">
        <v>156</v>
      </c>
      <c r="I71" t="s">
        <v>160</v>
      </c>
      <c r="J71" s="1">
        <v>-182952</v>
      </c>
      <c r="K71" s="1">
        <v>0</v>
      </c>
      <c r="L71" t="s">
        <v>24</v>
      </c>
      <c r="M71" t="s">
        <v>159</v>
      </c>
    </row>
    <row r="72" spans="1:13" x14ac:dyDescent="0.25">
      <c r="A72" t="s">
        <v>13</v>
      </c>
      <c r="B72" t="s">
        <v>26</v>
      </c>
      <c r="C72">
        <v>30</v>
      </c>
      <c r="D72" t="s">
        <v>156</v>
      </c>
      <c r="E72" t="str">
        <f>VLOOKUP(D:D,Hoja2!A:B,2,FALSE)</f>
        <v>PROYECTOS DEL MAR SRL</v>
      </c>
      <c r="F72" t="s">
        <v>17</v>
      </c>
      <c r="G72" t="s">
        <v>18</v>
      </c>
      <c r="H72" t="s">
        <v>156</v>
      </c>
      <c r="I72" t="s">
        <v>162</v>
      </c>
      <c r="J72" s="1">
        <v>90098.4</v>
      </c>
      <c r="K72" s="1">
        <v>90098.4</v>
      </c>
      <c r="L72" t="s">
        <v>24</v>
      </c>
      <c r="M72" t="s">
        <v>163</v>
      </c>
    </row>
    <row r="73" spans="1:13" x14ac:dyDescent="0.25">
      <c r="A73" t="s">
        <v>13</v>
      </c>
      <c r="B73" t="s">
        <v>32</v>
      </c>
      <c r="C73">
        <v>5</v>
      </c>
      <c r="D73" t="s">
        <v>156</v>
      </c>
      <c r="E73" t="str">
        <f>VLOOKUP(D:D,Hoja2!A:B,2,FALSE)</f>
        <v>PROYECTOS DEL MAR SRL</v>
      </c>
      <c r="F73" t="s">
        <v>17</v>
      </c>
      <c r="G73" t="s">
        <v>18</v>
      </c>
      <c r="H73" t="s">
        <v>156</v>
      </c>
      <c r="I73" t="s">
        <v>162</v>
      </c>
      <c r="J73" s="1">
        <v>-90098.4</v>
      </c>
      <c r="K73" s="1">
        <v>0</v>
      </c>
      <c r="L73" t="s">
        <v>24</v>
      </c>
      <c r="M73" t="s">
        <v>164</v>
      </c>
    </row>
    <row r="74" spans="1:13" x14ac:dyDescent="0.25">
      <c r="A74" t="s">
        <v>13</v>
      </c>
      <c r="B74" t="s">
        <v>26</v>
      </c>
      <c r="C74">
        <v>1711</v>
      </c>
      <c r="D74" t="s">
        <v>156</v>
      </c>
      <c r="E74" t="str">
        <f>VLOOKUP(D:D,Hoja2!A:B,2,FALSE)</f>
        <v>PROYECTOS DEL MAR SRL</v>
      </c>
      <c r="F74" t="s">
        <v>17</v>
      </c>
      <c r="G74" t="s">
        <v>18</v>
      </c>
      <c r="H74" t="s">
        <v>156</v>
      </c>
      <c r="I74" t="s">
        <v>165</v>
      </c>
      <c r="J74" s="1">
        <v>181044.5</v>
      </c>
      <c r="K74" s="1">
        <v>181044.5</v>
      </c>
      <c r="L74" t="s">
        <v>24</v>
      </c>
      <c r="M74" t="s">
        <v>166</v>
      </c>
    </row>
    <row r="75" spans="1:13" x14ac:dyDescent="0.25">
      <c r="A75" t="s">
        <v>13</v>
      </c>
      <c r="B75" t="s">
        <v>32</v>
      </c>
      <c r="C75">
        <v>76</v>
      </c>
      <c r="D75" t="s">
        <v>156</v>
      </c>
      <c r="E75" t="str">
        <f>VLOOKUP(D:D,Hoja2!A:B,2,FALSE)</f>
        <v>PROYECTOS DEL MAR SRL</v>
      </c>
      <c r="F75" t="s">
        <v>17</v>
      </c>
      <c r="G75" t="s">
        <v>18</v>
      </c>
      <c r="H75" t="s">
        <v>156</v>
      </c>
      <c r="I75" t="s">
        <v>167</v>
      </c>
      <c r="J75" s="1">
        <v>-181044.5</v>
      </c>
      <c r="K75" s="1">
        <v>0</v>
      </c>
      <c r="L75" t="s">
        <v>24</v>
      </c>
      <c r="M75" t="s">
        <v>168</v>
      </c>
    </row>
    <row r="76" spans="1:13" x14ac:dyDescent="0.25">
      <c r="A76" t="s">
        <v>13</v>
      </c>
      <c r="B76" t="s">
        <v>26</v>
      </c>
      <c r="C76">
        <v>6402</v>
      </c>
      <c r="D76" t="s">
        <v>156</v>
      </c>
      <c r="E76" t="str">
        <f>VLOOKUP(D:D,Hoja2!A:B,2,FALSE)</f>
        <v>PROYECTOS DEL MAR SRL</v>
      </c>
      <c r="F76" t="s">
        <v>17</v>
      </c>
      <c r="G76" t="s">
        <v>18</v>
      </c>
      <c r="H76" t="s">
        <v>156</v>
      </c>
      <c r="I76" t="s">
        <v>169</v>
      </c>
      <c r="J76" s="1">
        <v>16730437.5</v>
      </c>
      <c r="K76" s="1">
        <v>16730437.5</v>
      </c>
      <c r="L76" t="s">
        <v>24</v>
      </c>
      <c r="M76" t="s">
        <v>170</v>
      </c>
    </row>
    <row r="77" spans="1:13" x14ac:dyDescent="0.25">
      <c r="A77" t="s">
        <v>13</v>
      </c>
      <c r="B77" t="s">
        <v>32</v>
      </c>
      <c r="C77">
        <v>246</v>
      </c>
      <c r="D77" t="s">
        <v>156</v>
      </c>
      <c r="E77" t="str">
        <f>VLOOKUP(D:D,Hoja2!A:B,2,FALSE)</f>
        <v>PROYECTOS DEL MAR SRL</v>
      </c>
      <c r="F77" t="s">
        <v>17</v>
      </c>
      <c r="G77" t="s">
        <v>18</v>
      </c>
      <c r="H77" t="s">
        <v>156</v>
      </c>
      <c r="I77" t="s">
        <v>171</v>
      </c>
      <c r="J77" s="1">
        <v>-16730437.5</v>
      </c>
      <c r="K77" s="1">
        <v>0</v>
      </c>
      <c r="L77" t="s">
        <v>24</v>
      </c>
      <c r="M77" t="s">
        <v>172</v>
      </c>
    </row>
    <row r="78" spans="1:13" x14ac:dyDescent="0.25">
      <c r="A78" t="s">
        <v>13</v>
      </c>
      <c r="B78" t="s">
        <v>26</v>
      </c>
      <c r="C78">
        <v>7304</v>
      </c>
      <c r="D78" t="s">
        <v>156</v>
      </c>
      <c r="E78" t="str">
        <f>VLOOKUP(D:D,Hoja2!A:B,2,FALSE)</f>
        <v>PROYECTOS DEL MAR SRL</v>
      </c>
      <c r="F78" t="s">
        <v>17</v>
      </c>
      <c r="G78" t="s">
        <v>18</v>
      </c>
      <c r="H78" t="s">
        <v>156</v>
      </c>
      <c r="I78" t="s">
        <v>44</v>
      </c>
      <c r="J78" s="1">
        <v>11812625</v>
      </c>
      <c r="K78" s="1">
        <v>11812625</v>
      </c>
      <c r="L78" t="s">
        <v>24</v>
      </c>
      <c r="M78" t="s">
        <v>173</v>
      </c>
    </row>
    <row r="79" spans="1:13" x14ac:dyDescent="0.25">
      <c r="A79" t="s">
        <v>13</v>
      </c>
      <c r="B79" t="s">
        <v>32</v>
      </c>
      <c r="C79">
        <v>148</v>
      </c>
      <c r="D79" t="s">
        <v>174</v>
      </c>
      <c r="E79" t="str">
        <f>VLOOKUP(D:D,Hoja2!A:B,2,FALSE)</f>
        <v>MARBELLA SAIYC</v>
      </c>
      <c r="F79" t="s">
        <v>105</v>
      </c>
      <c r="G79" t="s">
        <v>18</v>
      </c>
      <c r="H79" t="s">
        <v>174</v>
      </c>
      <c r="I79" t="s">
        <v>176</v>
      </c>
      <c r="J79" s="1">
        <v>-13189</v>
      </c>
      <c r="K79" s="1">
        <v>-13189</v>
      </c>
      <c r="L79" t="s">
        <v>24</v>
      </c>
      <c r="M79" t="s">
        <v>177</v>
      </c>
    </row>
    <row r="80" spans="1:13" x14ac:dyDescent="0.25">
      <c r="A80" t="s">
        <v>13</v>
      </c>
      <c r="B80" t="s">
        <v>14</v>
      </c>
      <c r="C80">
        <v>6906</v>
      </c>
      <c r="D80" t="s">
        <v>174</v>
      </c>
      <c r="E80" t="str">
        <f>VLOOKUP(D:D,Hoja2!A:B,2,FALSE)</f>
        <v>MARBELLA SAIYC</v>
      </c>
      <c r="F80" t="s">
        <v>105</v>
      </c>
      <c r="G80" t="s">
        <v>18</v>
      </c>
      <c r="H80" t="s">
        <v>174</v>
      </c>
      <c r="I80" t="s">
        <v>178</v>
      </c>
      <c r="J80" s="1">
        <v>-37752</v>
      </c>
      <c r="K80" s="1">
        <v>-50941</v>
      </c>
      <c r="L80" t="s">
        <v>20</v>
      </c>
      <c r="M80" t="s">
        <v>179</v>
      </c>
    </row>
    <row r="81" spans="1:13" x14ac:dyDescent="0.25">
      <c r="A81" t="s">
        <v>13</v>
      </c>
      <c r="B81" t="s">
        <v>26</v>
      </c>
      <c r="C81">
        <v>3315</v>
      </c>
      <c r="D81" t="s">
        <v>174</v>
      </c>
      <c r="E81" t="str">
        <f>VLOOKUP(D:D,Hoja2!A:B,2,FALSE)</f>
        <v>MARBELLA SAIYC</v>
      </c>
      <c r="F81" t="s">
        <v>105</v>
      </c>
      <c r="G81" t="s">
        <v>18</v>
      </c>
      <c r="H81" t="s">
        <v>174</v>
      </c>
      <c r="I81" t="s">
        <v>180</v>
      </c>
      <c r="J81" s="1">
        <v>50941</v>
      </c>
      <c r="K81" s="1">
        <v>0</v>
      </c>
      <c r="L81" t="s">
        <v>24</v>
      </c>
      <c r="M81" t="s">
        <v>181</v>
      </c>
    </row>
    <row r="82" spans="1:13" x14ac:dyDescent="0.25">
      <c r="A82" t="s">
        <v>13</v>
      </c>
      <c r="B82" t="s">
        <v>73</v>
      </c>
      <c r="C82">
        <v>10000621</v>
      </c>
      <c r="D82" t="s">
        <v>182</v>
      </c>
      <c r="E82" t="str">
        <f>VLOOKUP(D:D,Hoja2!A:B,2,FALSE)</f>
        <v>LAKSUR SA</v>
      </c>
      <c r="F82" t="s">
        <v>20</v>
      </c>
      <c r="G82" t="s">
        <v>18</v>
      </c>
      <c r="H82" t="s">
        <v>182</v>
      </c>
      <c r="I82" t="s">
        <v>183</v>
      </c>
      <c r="J82" s="1">
        <v>2949.75</v>
      </c>
      <c r="K82" s="1">
        <v>2949.75</v>
      </c>
      <c r="L82" t="s">
        <v>76</v>
      </c>
      <c r="M82" t="s">
        <v>184</v>
      </c>
    </row>
    <row r="83" spans="1:13" x14ac:dyDescent="0.25">
      <c r="A83" t="s">
        <v>13</v>
      </c>
      <c r="B83" t="s">
        <v>73</v>
      </c>
      <c r="C83">
        <v>10000622</v>
      </c>
      <c r="D83" t="s">
        <v>182</v>
      </c>
      <c r="E83" t="str">
        <f>VLOOKUP(D:D,Hoja2!A:B,2,FALSE)</f>
        <v>LAKSUR SA</v>
      </c>
      <c r="F83" t="s">
        <v>20</v>
      </c>
      <c r="G83" t="s">
        <v>18</v>
      </c>
      <c r="H83" t="s">
        <v>182</v>
      </c>
      <c r="I83" t="s">
        <v>183</v>
      </c>
      <c r="J83" s="1">
        <v>18.149999999999999</v>
      </c>
      <c r="K83" s="1">
        <v>2967.9</v>
      </c>
      <c r="L83" t="s">
        <v>76</v>
      </c>
      <c r="M83" t="s">
        <v>185</v>
      </c>
    </row>
    <row r="84" spans="1:13" x14ac:dyDescent="0.25">
      <c r="A84" t="s">
        <v>13</v>
      </c>
      <c r="B84" t="s">
        <v>73</v>
      </c>
      <c r="C84">
        <v>10000623</v>
      </c>
      <c r="D84" t="s">
        <v>182</v>
      </c>
      <c r="E84" t="str">
        <f>VLOOKUP(D:D,Hoja2!A:B,2,FALSE)</f>
        <v>LAKSUR SA</v>
      </c>
      <c r="F84" t="s">
        <v>20</v>
      </c>
      <c r="G84" t="s">
        <v>18</v>
      </c>
      <c r="H84" t="s">
        <v>182</v>
      </c>
      <c r="I84" t="s">
        <v>186</v>
      </c>
      <c r="J84" s="1">
        <v>15000</v>
      </c>
      <c r="K84" s="1">
        <v>17967.900000000001</v>
      </c>
      <c r="L84" t="s">
        <v>76</v>
      </c>
      <c r="M84" t="s">
        <v>187</v>
      </c>
    </row>
    <row r="85" spans="1:13" x14ac:dyDescent="0.25">
      <c r="A85" t="s">
        <v>13</v>
      </c>
      <c r="B85" t="s">
        <v>73</v>
      </c>
      <c r="C85">
        <v>10000624</v>
      </c>
      <c r="D85" t="s">
        <v>182</v>
      </c>
      <c r="E85" t="str">
        <f>VLOOKUP(D:D,Hoja2!A:B,2,FALSE)</f>
        <v>LAKSUR SA</v>
      </c>
      <c r="F85" t="s">
        <v>20</v>
      </c>
      <c r="G85" t="s">
        <v>18</v>
      </c>
      <c r="H85" t="s">
        <v>182</v>
      </c>
      <c r="I85" t="s">
        <v>186</v>
      </c>
      <c r="J85" s="1">
        <v>121.3</v>
      </c>
      <c r="K85" s="1">
        <v>18089.2</v>
      </c>
      <c r="L85" t="s">
        <v>76</v>
      </c>
      <c r="M85" t="s">
        <v>188</v>
      </c>
    </row>
    <row r="86" spans="1:13" x14ac:dyDescent="0.25">
      <c r="A86" t="s">
        <v>13</v>
      </c>
      <c r="B86" t="s">
        <v>73</v>
      </c>
      <c r="C86">
        <v>10000625</v>
      </c>
      <c r="D86" t="s">
        <v>182</v>
      </c>
      <c r="E86" t="str">
        <f>VLOOKUP(D:D,Hoja2!A:B,2,FALSE)</f>
        <v>LAKSUR SA</v>
      </c>
      <c r="F86" t="s">
        <v>20</v>
      </c>
      <c r="G86" t="s">
        <v>18</v>
      </c>
      <c r="H86" t="s">
        <v>182</v>
      </c>
      <c r="I86" t="s">
        <v>189</v>
      </c>
      <c r="J86" s="1">
        <v>45000</v>
      </c>
      <c r="K86" s="1">
        <v>63089.2</v>
      </c>
      <c r="L86" t="s">
        <v>76</v>
      </c>
      <c r="M86" t="s">
        <v>190</v>
      </c>
    </row>
    <row r="87" spans="1:13" x14ac:dyDescent="0.25">
      <c r="A87" t="s">
        <v>13</v>
      </c>
      <c r="B87" t="s">
        <v>73</v>
      </c>
      <c r="C87">
        <v>10000626</v>
      </c>
      <c r="D87" t="s">
        <v>182</v>
      </c>
      <c r="E87" t="str">
        <f>VLOOKUP(D:D,Hoja2!A:B,2,FALSE)</f>
        <v>LAKSUR SA</v>
      </c>
      <c r="F87" t="s">
        <v>20</v>
      </c>
      <c r="G87" t="s">
        <v>18</v>
      </c>
      <c r="H87" t="s">
        <v>182</v>
      </c>
      <c r="I87" t="s">
        <v>189</v>
      </c>
      <c r="J87" s="1">
        <v>372.9</v>
      </c>
      <c r="K87" s="1">
        <v>63462.1</v>
      </c>
      <c r="L87" t="s">
        <v>76</v>
      </c>
      <c r="M87" t="s">
        <v>191</v>
      </c>
    </row>
    <row r="88" spans="1:13" x14ac:dyDescent="0.25">
      <c r="A88" t="s">
        <v>13</v>
      </c>
      <c r="B88" t="s">
        <v>73</v>
      </c>
      <c r="C88">
        <v>100049769</v>
      </c>
      <c r="D88" t="s">
        <v>192</v>
      </c>
      <c r="E88" t="str">
        <f>VLOOKUP(D:D,Hoja2!A:B,2,FALSE)</f>
        <v>FLESHMAR SRL(EN FORMACION)</v>
      </c>
      <c r="F88" t="s">
        <v>20</v>
      </c>
      <c r="G88" t="s">
        <v>61</v>
      </c>
      <c r="H88" t="s">
        <v>192</v>
      </c>
      <c r="I88" t="s">
        <v>193</v>
      </c>
      <c r="J88" s="1">
        <v>19405.62</v>
      </c>
      <c r="K88" s="1">
        <v>19405.62</v>
      </c>
      <c r="L88" t="s">
        <v>76</v>
      </c>
      <c r="M88" t="s">
        <v>194</v>
      </c>
    </row>
    <row r="89" spans="1:13" x14ac:dyDescent="0.25">
      <c r="A89" t="s">
        <v>13</v>
      </c>
      <c r="B89" t="s">
        <v>73</v>
      </c>
      <c r="C89">
        <v>10049781</v>
      </c>
      <c r="D89" t="s">
        <v>192</v>
      </c>
      <c r="E89" t="str">
        <f>VLOOKUP(D:D,Hoja2!A:B,2,FALSE)</f>
        <v>FLESHMAR SRL(EN FORMACION)</v>
      </c>
      <c r="F89" t="s">
        <v>20</v>
      </c>
      <c r="G89" t="s">
        <v>18</v>
      </c>
      <c r="H89" t="s">
        <v>192</v>
      </c>
      <c r="I89" t="s">
        <v>195</v>
      </c>
      <c r="J89" s="1">
        <v>17998.849999999999</v>
      </c>
      <c r="K89" s="1">
        <v>37404.47</v>
      </c>
      <c r="L89" t="s">
        <v>76</v>
      </c>
      <c r="M89" t="s">
        <v>196</v>
      </c>
    </row>
    <row r="90" spans="1:13" x14ac:dyDescent="0.25">
      <c r="A90" t="s">
        <v>13</v>
      </c>
      <c r="B90" t="s">
        <v>73</v>
      </c>
      <c r="C90">
        <v>10000383</v>
      </c>
      <c r="D90" t="s">
        <v>192</v>
      </c>
      <c r="E90" t="str">
        <f>VLOOKUP(D:D,Hoja2!A:B,2,FALSE)</f>
        <v>FLESHMAR SRL(EN FORMACION)</v>
      </c>
      <c r="F90" t="s">
        <v>20</v>
      </c>
      <c r="G90" t="s">
        <v>18</v>
      </c>
      <c r="H90" t="s">
        <v>192</v>
      </c>
      <c r="I90" t="s">
        <v>197</v>
      </c>
      <c r="J90" s="1">
        <v>7000</v>
      </c>
      <c r="K90" s="1">
        <v>44404.47</v>
      </c>
      <c r="L90" t="s">
        <v>76</v>
      </c>
      <c r="M90" t="s">
        <v>198</v>
      </c>
    </row>
    <row r="91" spans="1:13" x14ac:dyDescent="0.25">
      <c r="A91" t="s">
        <v>13</v>
      </c>
      <c r="B91" t="s">
        <v>73</v>
      </c>
      <c r="C91">
        <v>10000384</v>
      </c>
      <c r="D91" t="s">
        <v>192</v>
      </c>
      <c r="E91" t="str">
        <f>VLOOKUP(D:D,Hoja2!A:B,2,FALSE)</f>
        <v>FLESHMAR SRL(EN FORMACION)</v>
      </c>
      <c r="F91" t="s">
        <v>20</v>
      </c>
      <c r="G91" t="s">
        <v>18</v>
      </c>
      <c r="H91" t="s">
        <v>192</v>
      </c>
      <c r="I91" t="s">
        <v>197</v>
      </c>
      <c r="J91" s="1">
        <v>60.5</v>
      </c>
      <c r="K91" s="1">
        <v>44464.97</v>
      </c>
      <c r="L91" t="s">
        <v>76</v>
      </c>
      <c r="M91" t="s">
        <v>199</v>
      </c>
    </row>
    <row r="92" spans="1:13" x14ac:dyDescent="0.25">
      <c r="A92" t="s">
        <v>13</v>
      </c>
      <c r="B92" t="s">
        <v>73</v>
      </c>
      <c r="C92">
        <v>10000394</v>
      </c>
      <c r="D92" t="s">
        <v>192</v>
      </c>
      <c r="E92" t="str">
        <f>VLOOKUP(D:D,Hoja2!A:B,2,FALSE)</f>
        <v>FLESHMAR SRL(EN FORMACION)</v>
      </c>
      <c r="F92" t="s">
        <v>20</v>
      </c>
      <c r="G92" t="s">
        <v>18</v>
      </c>
      <c r="H92" t="s">
        <v>192</v>
      </c>
      <c r="I92" t="s">
        <v>200</v>
      </c>
      <c r="J92" s="1">
        <v>7000</v>
      </c>
      <c r="K92" s="1">
        <v>51464.97</v>
      </c>
      <c r="L92" t="s">
        <v>76</v>
      </c>
      <c r="M92" t="s">
        <v>201</v>
      </c>
    </row>
    <row r="93" spans="1:13" x14ac:dyDescent="0.25">
      <c r="A93" t="s">
        <v>13</v>
      </c>
      <c r="B93" t="s">
        <v>73</v>
      </c>
      <c r="C93">
        <v>10000395</v>
      </c>
      <c r="D93" t="s">
        <v>192</v>
      </c>
      <c r="E93" t="str">
        <f>VLOOKUP(D:D,Hoja2!A:B,2,FALSE)</f>
        <v>FLESHMAR SRL(EN FORMACION)</v>
      </c>
      <c r="F93" t="s">
        <v>20</v>
      </c>
      <c r="G93" t="s">
        <v>18</v>
      </c>
      <c r="H93" t="s">
        <v>192</v>
      </c>
      <c r="I93" t="s">
        <v>200</v>
      </c>
      <c r="J93" s="1">
        <v>60.5</v>
      </c>
      <c r="K93" s="1">
        <v>51525.47</v>
      </c>
      <c r="L93" t="s">
        <v>76</v>
      </c>
      <c r="M93" t="s">
        <v>202</v>
      </c>
    </row>
    <row r="94" spans="1:13" x14ac:dyDescent="0.25">
      <c r="A94" t="s">
        <v>13</v>
      </c>
      <c r="B94" t="s">
        <v>100</v>
      </c>
      <c r="C94">
        <v>58</v>
      </c>
      <c r="D94" t="s">
        <v>192</v>
      </c>
      <c r="E94" t="str">
        <f>VLOOKUP(D:D,Hoja2!A:B,2,FALSE)</f>
        <v>FLESHMAR SRL(EN FORMACION)</v>
      </c>
      <c r="F94" t="s">
        <v>20</v>
      </c>
      <c r="G94" t="s">
        <v>18</v>
      </c>
      <c r="H94" t="s">
        <v>192</v>
      </c>
      <c r="I94" t="s">
        <v>203</v>
      </c>
      <c r="J94" s="1">
        <v>-51525.47</v>
      </c>
      <c r="K94" s="1">
        <v>0</v>
      </c>
      <c r="L94" t="s">
        <v>76</v>
      </c>
      <c r="M94" t="s">
        <v>204</v>
      </c>
    </row>
    <row r="95" spans="1:13" x14ac:dyDescent="0.25">
      <c r="A95" t="s">
        <v>13</v>
      </c>
      <c r="B95" t="s">
        <v>14</v>
      </c>
      <c r="C95">
        <v>9116</v>
      </c>
      <c r="D95" t="s">
        <v>205</v>
      </c>
      <c r="E95" t="str">
        <f>VLOOKUP(D:D,Hoja2!A:B,2,FALSE)</f>
        <v>LACAR FISH SA</v>
      </c>
      <c r="F95" t="s">
        <v>29</v>
      </c>
      <c r="G95" t="s">
        <v>18</v>
      </c>
      <c r="H95" t="s">
        <v>205</v>
      </c>
      <c r="I95" t="s">
        <v>207</v>
      </c>
      <c r="J95" s="1">
        <v>-100</v>
      </c>
      <c r="K95" s="1">
        <v>-100</v>
      </c>
      <c r="L95" t="s">
        <v>20</v>
      </c>
      <c r="M95" t="s">
        <v>208</v>
      </c>
    </row>
    <row r="96" spans="1:13" x14ac:dyDescent="0.25">
      <c r="A96" t="s">
        <v>13</v>
      </c>
      <c r="B96" t="s">
        <v>26</v>
      </c>
      <c r="C96">
        <v>7253</v>
      </c>
      <c r="D96" t="s">
        <v>205</v>
      </c>
      <c r="E96" t="str">
        <f>VLOOKUP(D:D,Hoja2!A:B,2,FALSE)</f>
        <v>LACAR FISH SA</v>
      </c>
      <c r="F96" t="s">
        <v>29</v>
      </c>
      <c r="G96" t="s">
        <v>18</v>
      </c>
      <c r="H96" t="s">
        <v>205</v>
      </c>
      <c r="I96" t="s">
        <v>40</v>
      </c>
      <c r="J96" s="1">
        <v>11318175</v>
      </c>
      <c r="K96" s="1">
        <v>11318075</v>
      </c>
      <c r="L96" t="s">
        <v>24</v>
      </c>
      <c r="M96" t="s">
        <v>209</v>
      </c>
    </row>
    <row r="97" spans="1:13" x14ac:dyDescent="0.25">
      <c r="A97" t="s">
        <v>13</v>
      </c>
      <c r="B97" t="s">
        <v>26</v>
      </c>
      <c r="C97">
        <v>7279</v>
      </c>
      <c r="D97" t="s">
        <v>205</v>
      </c>
      <c r="E97" t="str">
        <f>VLOOKUP(D:D,Hoja2!A:B,2,FALSE)</f>
        <v>LACAR FISH SA</v>
      </c>
      <c r="F97" t="s">
        <v>29</v>
      </c>
      <c r="G97" t="s">
        <v>18</v>
      </c>
      <c r="H97" t="s">
        <v>205</v>
      </c>
      <c r="I97" t="s">
        <v>42</v>
      </c>
      <c r="J97" s="1">
        <v>14780205</v>
      </c>
      <c r="K97" s="1">
        <v>26098280</v>
      </c>
      <c r="L97" t="s">
        <v>24</v>
      </c>
      <c r="M97" t="s">
        <v>210</v>
      </c>
    </row>
    <row r="98" spans="1:13" x14ac:dyDescent="0.25">
      <c r="A98" t="s">
        <v>13</v>
      </c>
      <c r="B98" t="s">
        <v>26</v>
      </c>
      <c r="C98">
        <v>7298</v>
      </c>
      <c r="D98" t="s">
        <v>205</v>
      </c>
      <c r="E98" t="str">
        <f>VLOOKUP(D:D,Hoja2!A:B,2,FALSE)</f>
        <v>LACAR FISH SA</v>
      </c>
      <c r="F98" t="s">
        <v>29</v>
      </c>
      <c r="G98" t="s">
        <v>18</v>
      </c>
      <c r="H98" t="s">
        <v>205</v>
      </c>
      <c r="I98" t="s">
        <v>44</v>
      </c>
      <c r="J98" s="1">
        <v>14380740</v>
      </c>
      <c r="K98" s="1">
        <v>40479020</v>
      </c>
      <c r="L98" t="s">
        <v>24</v>
      </c>
      <c r="M98" t="s">
        <v>211</v>
      </c>
    </row>
    <row r="99" spans="1:13" x14ac:dyDescent="0.25">
      <c r="A99" t="s">
        <v>13</v>
      </c>
      <c r="B99" t="s">
        <v>73</v>
      </c>
      <c r="C99">
        <v>10049728</v>
      </c>
      <c r="D99" t="s">
        <v>212</v>
      </c>
      <c r="E99" t="str">
        <f>VLOOKUP(D:D,Hoja2!A:B,2,FALSE)</f>
        <v>LINEAERRE SA</v>
      </c>
      <c r="F99" t="s">
        <v>20</v>
      </c>
      <c r="G99" t="s">
        <v>18</v>
      </c>
      <c r="H99" t="s">
        <v>212</v>
      </c>
      <c r="I99" t="s">
        <v>213</v>
      </c>
      <c r="J99" s="1">
        <v>399.3</v>
      </c>
      <c r="K99" s="1">
        <v>399.3</v>
      </c>
      <c r="L99" t="s">
        <v>76</v>
      </c>
      <c r="M99" t="s">
        <v>214</v>
      </c>
    </row>
    <row r="100" spans="1:13" x14ac:dyDescent="0.25">
      <c r="A100" t="s">
        <v>13</v>
      </c>
      <c r="B100" t="s">
        <v>73</v>
      </c>
      <c r="C100">
        <v>10049740</v>
      </c>
      <c r="D100" t="s">
        <v>212</v>
      </c>
      <c r="E100" t="str">
        <f>VLOOKUP(D:D,Hoja2!A:B,2,FALSE)</f>
        <v>LINEAERRE SA</v>
      </c>
      <c r="F100" t="s">
        <v>20</v>
      </c>
      <c r="G100" t="s">
        <v>18</v>
      </c>
      <c r="H100" t="s">
        <v>212</v>
      </c>
      <c r="I100" t="s">
        <v>213</v>
      </c>
      <c r="J100" s="1">
        <v>363</v>
      </c>
      <c r="K100" s="1">
        <v>762.3</v>
      </c>
      <c r="L100" t="s">
        <v>76</v>
      </c>
      <c r="M100" t="s">
        <v>215</v>
      </c>
    </row>
    <row r="101" spans="1:13" x14ac:dyDescent="0.25">
      <c r="A101" t="s">
        <v>13</v>
      </c>
      <c r="B101" t="s">
        <v>73</v>
      </c>
      <c r="C101">
        <v>10049741</v>
      </c>
      <c r="D101" t="s">
        <v>212</v>
      </c>
      <c r="E101" t="str">
        <f>VLOOKUP(D:D,Hoja2!A:B,2,FALSE)</f>
        <v>LINEAERRE SA</v>
      </c>
      <c r="F101" t="s">
        <v>20</v>
      </c>
      <c r="G101" t="s">
        <v>18</v>
      </c>
      <c r="H101" t="s">
        <v>212</v>
      </c>
      <c r="I101" t="s">
        <v>213</v>
      </c>
      <c r="J101" s="1">
        <v>363</v>
      </c>
      <c r="K101" s="1">
        <v>1125.3</v>
      </c>
      <c r="L101" t="s">
        <v>76</v>
      </c>
      <c r="M101" t="s">
        <v>216</v>
      </c>
    </row>
    <row r="102" spans="1:13" x14ac:dyDescent="0.25">
      <c r="A102" t="s">
        <v>13</v>
      </c>
      <c r="B102" t="s">
        <v>73</v>
      </c>
      <c r="C102">
        <v>10049868</v>
      </c>
      <c r="D102" t="s">
        <v>212</v>
      </c>
      <c r="E102" t="str">
        <f>VLOOKUP(D:D,Hoja2!A:B,2,FALSE)</f>
        <v>LINEAERRE SA</v>
      </c>
      <c r="F102" t="s">
        <v>20</v>
      </c>
      <c r="G102" t="s">
        <v>18</v>
      </c>
      <c r="H102" t="s">
        <v>212</v>
      </c>
      <c r="I102" t="s">
        <v>217</v>
      </c>
      <c r="J102" s="1">
        <v>726</v>
      </c>
      <c r="K102" s="1">
        <v>1851.3</v>
      </c>
      <c r="L102" t="s">
        <v>76</v>
      </c>
      <c r="M102" t="s">
        <v>218</v>
      </c>
    </row>
    <row r="103" spans="1:13" x14ac:dyDescent="0.25">
      <c r="A103" t="s">
        <v>13</v>
      </c>
      <c r="B103" t="s">
        <v>100</v>
      </c>
      <c r="C103">
        <v>57</v>
      </c>
      <c r="D103" t="s">
        <v>212</v>
      </c>
      <c r="E103" t="str">
        <f>VLOOKUP(D:D,Hoja2!A:B,2,FALSE)</f>
        <v>LINEAERRE SA</v>
      </c>
      <c r="F103" t="s">
        <v>20</v>
      </c>
      <c r="G103" t="s">
        <v>18</v>
      </c>
      <c r="H103" t="s">
        <v>212</v>
      </c>
      <c r="I103" t="s">
        <v>203</v>
      </c>
      <c r="J103" s="1">
        <v>-1851.3</v>
      </c>
      <c r="K103" s="1">
        <v>0</v>
      </c>
      <c r="L103" t="s">
        <v>76</v>
      </c>
      <c r="M103" t="s">
        <v>219</v>
      </c>
    </row>
    <row r="104" spans="1:13" x14ac:dyDescent="0.25">
      <c r="A104" t="s">
        <v>13</v>
      </c>
      <c r="B104" t="s">
        <v>26</v>
      </c>
      <c r="C104">
        <v>6047</v>
      </c>
      <c r="D104" t="s">
        <v>220</v>
      </c>
      <c r="E104" t="str">
        <f>VLOOKUP(D:D,Hoja2!A:B,2,FALSE)</f>
        <v>COOPERATIVA  DE TRABAJO DOÑA FRANCISCA LTDA</v>
      </c>
      <c r="F104" t="s">
        <v>105</v>
      </c>
      <c r="G104" t="s">
        <v>18</v>
      </c>
      <c r="H104" t="s">
        <v>220</v>
      </c>
      <c r="I104" t="s">
        <v>222</v>
      </c>
      <c r="J104" s="1">
        <v>7812315</v>
      </c>
      <c r="K104" s="1">
        <v>7812315</v>
      </c>
      <c r="L104" t="s">
        <v>24</v>
      </c>
      <c r="M104" t="s">
        <v>223</v>
      </c>
    </row>
    <row r="105" spans="1:13" x14ac:dyDescent="0.25">
      <c r="A105" t="s">
        <v>13</v>
      </c>
      <c r="B105" t="s">
        <v>26</v>
      </c>
      <c r="C105">
        <v>6137</v>
      </c>
      <c r="D105" t="s">
        <v>220</v>
      </c>
      <c r="E105" t="str">
        <f>VLOOKUP(D:D,Hoja2!A:B,2,FALSE)</f>
        <v>COOPERATIVA  DE TRABAJO DOÑA FRANCISCA LTDA</v>
      </c>
      <c r="F105" t="s">
        <v>105</v>
      </c>
      <c r="G105" t="s">
        <v>18</v>
      </c>
      <c r="H105" t="s">
        <v>220</v>
      </c>
      <c r="I105" t="s">
        <v>224</v>
      </c>
      <c r="J105" s="1">
        <v>8212500</v>
      </c>
      <c r="K105" s="1">
        <v>16024815</v>
      </c>
      <c r="L105" t="s">
        <v>24</v>
      </c>
      <c r="M105" t="s">
        <v>225</v>
      </c>
    </row>
    <row r="106" spans="1:13" x14ac:dyDescent="0.25">
      <c r="A106" t="s">
        <v>13</v>
      </c>
      <c r="B106" t="s">
        <v>32</v>
      </c>
      <c r="C106">
        <v>235</v>
      </c>
      <c r="D106" t="s">
        <v>220</v>
      </c>
      <c r="E106" t="str">
        <f>VLOOKUP(D:D,Hoja2!A:B,2,FALSE)</f>
        <v>COOPERATIVA  DE TRABAJO DOÑA FRANCISCA LTDA</v>
      </c>
      <c r="F106" t="s">
        <v>105</v>
      </c>
      <c r="G106" t="s">
        <v>18</v>
      </c>
      <c r="H106" t="s">
        <v>220</v>
      </c>
      <c r="I106" t="s">
        <v>226</v>
      </c>
      <c r="J106" s="1">
        <v>-7812315</v>
      </c>
      <c r="K106" s="1">
        <v>8212500</v>
      </c>
      <c r="L106" t="s">
        <v>24</v>
      </c>
      <c r="M106" t="s">
        <v>227</v>
      </c>
    </row>
    <row r="107" spans="1:13" x14ac:dyDescent="0.25">
      <c r="A107" t="s">
        <v>13</v>
      </c>
      <c r="B107" t="s">
        <v>32</v>
      </c>
      <c r="C107">
        <v>236</v>
      </c>
      <c r="D107" t="s">
        <v>220</v>
      </c>
      <c r="E107" t="str">
        <f>VLOOKUP(D:D,Hoja2!A:B,2,FALSE)</f>
        <v>COOPERATIVA  DE TRABAJO DOÑA FRANCISCA LTDA</v>
      </c>
      <c r="F107" t="s">
        <v>105</v>
      </c>
      <c r="G107" t="s">
        <v>18</v>
      </c>
      <c r="H107" t="s">
        <v>220</v>
      </c>
      <c r="I107" t="s">
        <v>226</v>
      </c>
      <c r="J107" s="1">
        <v>-8212500</v>
      </c>
      <c r="K107" s="1">
        <v>0</v>
      </c>
      <c r="L107" t="s">
        <v>24</v>
      </c>
      <c r="M107" t="s">
        <v>228</v>
      </c>
    </row>
    <row r="108" spans="1:13" x14ac:dyDescent="0.25">
      <c r="A108" t="s">
        <v>13</v>
      </c>
      <c r="B108" t="s">
        <v>26</v>
      </c>
      <c r="C108">
        <v>7214</v>
      </c>
      <c r="D108" t="s">
        <v>220</v>
      </c>
      <c r="E108" t="str">
        <f>VLOOKUP(D:D,Hoja2!A:B,2,FALSE)</f>
        <v>COOPERATIVA  DE TRABAJO DOÑA FRANCISCA LTDA</v>
      </c>
      <c r="F108" t="s">
        <v>105</v>
      </c>
      <c r="G108" t="s">
        <v>18</v>
      </c>
      <c r="H108" t="s">
        <v>220</v>
      </c>
      <c r="I108" t="s">
        <v>36</v>
      </c>
      <c r="J108" s="1">
        <v>19368800</v>
      </c>
      <c r="K108" s="1">
        <v>19368800</v>
      </c>
      <c r="L108" t="s">
        <v>24</v>
      </c>
      <c r="M108" t="s">
        <v>229</v>
      </c>
    </row>
    <row r="109" spans="1:13" x14ac:dyDescent="0.25">
      <c r="A109" t="s">
        <v>13</v>
      </c>
      <c r="B109" t="s">
        <v>26</v>
      </c>
      <c r="C109">
        <v>7229</v>
      </c>
      <c r="D109" t="s">
        <v>220</v>
      </c>
      <c r="E109" t="str">
        <f>VLOOKUP(D:D,Hoja2!A:B,2,FALSE)</f>
        <v>COOPERATIVA  DE TRABAJO DOÑA FRANCISCA LTDA</v>
      </c>
      <c r="F109" t="s">
        <v>105</v>
      </c>
      <c r="G109" t="s">
        <v>18</v>
      </c>
      <c r="H109" t="s">
        <v>220</v>
      </c>
      <c r="I109" t="s">
        <v>38</v>
      </c>
      <c r="J109" s="1">
        <v>18277600</v>
      </c>
      <c r="K109" s="1">
        <v>37646400</v>
      </c>
      <c r="L109" t="s">
        <v>24</v>
      </c>
      <c r="M109" t="s">
        <v>230</v>
      </c>
    </row>
    <row r="110" spans="1:13" x14ac:dyDescent="0.25">
      <c r="A110" t="s">
        <v>13</v>
      </c>
      <c r="B110" t="s">
        <v>26</v>
      </c>
      <c r="C110">
        <v>7248</v>
      </c>
      <c r="D110" t="s">
        <v>220</v>
      </c>
      <c r="E110" t="str">
        <f>VLOOKUP(D:D,Hoja2!A:B,2,FALSE)</f>
        <v>COOPERATIVA  DE TRABAJO DOÑA FRANCISCA LTDA</v>
      </c>
      <c r="F110" t="s">
        <v>105</v>
      </c>
      <c r="G110" t="s">
        <v>18</v>
      </c>
      <c r="H110" t="s">
        <v>220</v>
      </c>
      <c r="I110" t="s">
        <v>40</v>
      </c>
      <c r="J110" s="1">
        <v>18277600</v>
      </c>
      <c r="K110" s="1">
        <v>55924000</v>
      </c>
      <c r="L110" t="s">
        <v>24</v>
      </c>
      <c r="M110" t="s">
        <v>231</v>
      </c>
    </row>
    <row r="111" spans="1:13" x14ac:dyDescent="0.25">
      <c r="A111" t="s">
        <v>13</v>
      </c>
      <c r="B111" t="s">
        <v>26</v>
      </c>
      <c r="C111">
        <v>7273</v>
      </c>
      <c r="D111" t="s">
        <v>220</v>
      </c>
      <c r="E111" t="str">
        <f>VLOOKUP(D:D,Hoja2!A:B,2,FALSE)</f>
        <v>COOPERATIVA  DE TRABAJO DOÑA FRANCISCA LTDA</v>
      </c>
      <c r="F111" t="s">
        <v>105</v>
      </c>
      <c r="G111" t="s">
        <v>18</v>
      </c>
      <c r="H111" t="s">
        <v>220</v>
      </c>
      <c r="I111" t="s">
        <v>42</v>
      </c>
      <c r="J111" s="1">
        <v>24552000</v>
      </c>
      <c r="K111" s="1">
        <v>80476000</v>
      </c>
      <c r="L111" t="s">
        <v>24</v>
      </c>
      <c r="M111" t="s">
        <v>232</v>
      </c>
    </row>
    <row r="112" spans="1:13" x14ac:dyDescent="0.25">
      <c r="A112" t="s">
        <v>13</v>
      </c>
      <c r="B112" t="s">
        <v>26</v>
      </c>
      <c r="C112">
        <v>7293</v>
      </c>
      <c r="D112" t="s">
        <v>220</v>
      </c>
      <c r="E112" t="str">
        <f>VLOOKUP(D:D,Hoja2!A:B,2,FALSE)</f>
        <v>COOPERATIVA  DE TRABAJO DOÑA FRANCISCA LTDA</v>
      </c>
      <c r="F112" t="s">
        <v>105</v>
      </c>
      <c r="G112" t="s">
        <v>18</v>
      </c>
      <c r="H112" t="s">
        <v>220</v>
      </c>
      <c r="I112" t="s">
        <v>44</v>
      </c>
      <c r="J112" s="1">
        <v>24074600</v>
      </c>
      <c r="K112" s="1">
        <v>104550600</v>
      </c>
      <c r="L112" t="s">
        <v>24</v>
      </c>
      <c r="M112" t="s">
        <v>233</v>
      </c>
    </row>
    <row r="113" spans="1:13" x14ac:dyDescent="0.25">
      <c r="A113" t="s">
        <v>13</v>
      </c>
      <c r="B113" t="s">
        <v>73</v>
      </c>
      <c r="C113">
        <v>10050061</v>
      </c>
      <c r="D113" t="s">
        <v>234</v>
      </c>
      <c r="E113" t="str">
        <f>VLOOKUP(D:D,Hoja2!A:B,2,FALSE)</f>
        <v>PESCA ANGELA SA</v>
      </c>
      <c r="F113" t="s">
        <v>20</v>
      </c>
      <c r="G113" t="s">
        <v>18</v>
      </c>
      <c r="H113" t="s">
        <v>234</v>
      </c>
      <c r="I113" t="s">
        <v>235</v>
      </c>
      <c r="J113" s="1">
        <v>1488</v>
      </c>
      <c r="K113" s="1">
        <v>1488</v>
      </c>
      <c r="L113" t="s">
        <v>76</v>
      </c>
      <c r="M113" t="s">
        <v>236</v>
      </c>
    </row>
    <row r="114" spans="1:13" x14ac:dyDescent="0.25">
      <c r="A114" t="s">
        <v>13</v>
      </c>
      <c r="B114" t="s">
        <v>100</v>
      </c>
      <c r="C114">
        <v>51</v>
      </c>
      <c r="D114" t="s">
        <v>234</v>
      </c>
      <c r="E114" t="str">
        <f>VLOOKUP(D:D,Hoja2!A:B,2,FALSE)</f>
        <v>PESCA ANGELA SA</v>
      </c>
      <c r="F114" t="s">
        <v>20</v>
      </c>
      <c r="G114" t="s">
        <v>18</v>
      </c>
      <c r="H114" t="s">
        <v>234</v>
      </c>
      <c r="I114" t="s">
        <v>101</v>
      </c>
      <c r="J114" s="1">
        <v>-1488</v>
      </c>
      <c r="K114" s="1">
        <v>0</v>
      </c>
      <c r="L114" t="s">
        <v>76</v>
      </c>
      <c r="M114" t="s">
        <v>237</v>
      </c>
    </row>
    <row r="115" spans="1:13" x14ac:dyDescent="0.25">
      <c r="A115" t="s">
        <v>13</v>
      </c>
      <c r="B115" t="s">
        <v>73</v>
      </c>
      <c r="C115">
        <v>10046305</v>
      </c>
      <c r="D115" t="s">
        <v>238</v>
      </c>
      <c r="E115" t="str">
        <f>VLOOKUP(D:D,Hoja2!A:B,2,FALSE)</f>
        <v>CABO VERDE SA</v>
      </c>
      <c r="F115" t="s">
        <v>20</v>
      </c>
      <c r="G115" t="s">
        <v>18</v>
      </c>
      <c r="H115" t="s">
        <v>238</v>
      </c>
      <c r="I115" t="s">
        <v>239</v>
      </c>
      <c r="J115" s="1">
        <v>1685.34</v>
      </c>
      <c r="K115" s="1">
        <v>1685.34</v>
      </c>
      <c r="L115" t="s">
        <v>76</v>
      </c>
      <c r="M115" t="s">
        <v>240</v>
      </c>
    </row>
    <row r="116" spans="1:13" x14ac:dyDescent="0.25">
      <c r="A116" t="s">
        <v>13</v>
      </c>
      <c r="B116" t="s">
        <v>100</v>
      </c>
      <c r="C116">
        <v>50</v>
      </c>
      <c r="D116" t="s">
        <v>238</v>
      </c>
      <c r="E116" t="str">
        <f>VLOOKUP(D:D,Hoja2!A:B,2,FALSE)</f>
        <v>CABO VERDE SA</v>
      </c>
      <c r="F116" t="s">
        <v>20</v>
      </c>
      <c r="G116" t="s">
        <v>18</v>
      </c>
      <c r="H116" t="s">
        <v>238</v>
      </c>
      <c r="I116" t="s">
        <v>101</v>
      </c>
      <c r="J116" s="1">
        <v>-1685.34</v>
      </c>
      <c r="K116" s="1">
        <v>0</v>
      </c>
      <c r="L116" t="s">
        <v>76</v>
      </c>
      <c r="M116" t="s">
        <v>241</v>
      </c>
    </row>
    <row r="117" spans="1:13" x14ac:dyDescent="0.25">
      <c r="A117" t="s">
        <v>13</v>
      </c>
      <c r="B117" t="s">
        <v>26</v>
      </c>
      <c r="C117">
        <v>6582</v>
      </c>
      <c r="D117" t="s">
        <v>242</v>
      </c>
      <c r="E117" t="str">
        <f>VLOOKUP(D:D,Hoja2!A:B,2,FALSE)</f>
        <v>LUCRINO MARE SA</v>
      </c>
      <c r="F117" t="s">
        <v>105</v>
      </c>
      <c r="G117" t="s">
        <v>18</v>
      </c>
      <c r="H117" t="s">
        <v>242</v>
      </c>
      <c r="I117" t="s">
        <v>244</v>
      </c>
      <c r="J117" s="1">
        <v>10352775.140000001</v>
      </c>
      <c r="K117" s="1">
        <v>10352775.140000001</v>
      </c>
      <c r="L117" t="s">
        <v>24</v>
      </c>
      <c r="M117" t="s">
        <v>245</v>
      </c>
    </row>
    <row r="118" spans="1:13" x14ac:dyDescent="0.25">
      <c r="A118" t="s">
        <v>13</v>
      </c>
      <c r="B118" t="s">
        <v>32</v>
      </c>
      <c r="C118">
        <v>255</v>
      </c>
      <c r="D118" t="s">
        <v>242</v>
      </c>
      <c r="E118" t="str">
        <f>VLOOKUP(D:D,Hoja2!A:B,2,FALSE)</f>
        <v>LUCRINO MARE SA</v>
      </c>
      <c r="F118" t="s">
        <v>105</v>
      </c>
      <c r="G118" t="s">
        <v>18</v>
      </c>
      <c r="H118" t="s">
        <v>242</v>
      </c>
      <c r="I118" t="s">
        <v>246</v>
      </c>
      <c r="J118" s="1">
        <v>-10352775.140000001</v>
      </c>
      <c r="K118" s="1">
        <v>0</v>
      </c>
      <c r="L118" t="s">
        <v>24</v>
      </c>
      <c r="M118" t="s">
        <v>247</v>
      </c>
    </row>
    <row r="119" spans="1:13" x14ac:dyDescent="0.25">
      <c r="A119" t="s">
        <v>13</v>
      </c>
      <c r="B119" t="s">
        <v>26</v>
      </c>
      <c r="C119">
        <v>7053</v>
      </c>
      <c r="D119" t="s">
        <v>242</v>
      </c>
      <c r="E119" t="str">
        <f>VLOOKUP(D:D,Hoja2!A:B,2,FALSE)</f>
        <v>LUCRINO MARE SA</v>
      </c>
      <c r="F119" t="s">
        <v>105</v>
      </c>
      <c r="G119" t="s">
        <v>18</v>
      </c>
      <c r="H119" t="s">
        <v>242</v>
      </c>
      <c r="I119" t="s">
        <v>248</v>
      </c>
      <c r="J119" s="1">
        <v>12325600</v>
      </c>
      <c r="K119" s="1">
        <v>12325600</v>
      </c>
      <c r="L119" t="s">
        <v>24</v>
      </c>
      <c r="M119" t="s">
        <v>249</v>
      </c>
    </row>
    <row r="120" spans="1:13" x14ac:dyDescent="0.25">
      <c r="A120" t="s">
        <v>13</v>
      </c>
      <c r="B120" t="s">
        <v>26</v>
      </c>
      <c r="C120">
        <v>7149</v>
      </c>
      <c r="D120" t="s">
        <v>242</v>
      </c>
      <c r="E120" t="str">
        <f>VLOOKUP(D:D,Hoja2!A:B,2,FALSE)</f>
        <v>LUCRINO MARE SA</v>
      </c>
      <c r="F120" t="s">
        <v>105</v>
      </c>
      <c r="G120" t="s">
        <v>18</v>
      </c>
      <c r="H120" t="s">
        <v>242</v>
      </c>
      <c r="I120" t="s">
        <v>250</v>
      </c>
      <c r="J120" s="1">
        <v>5850000</v>
      </c>
      <c r="K120" s="1">
        <v>18175600</v>
      </c>
      <c r="L120" t="s">
        <v>24</v>
      </c>
      <c r="M120" t="s">
        <v>251</v>
      </c>
    </row>
    <row r="121" spans="1:13" x14ac:dyDescent="0.25">
      <c r="A121" t="s">
        <v>13</v>
      </c>
      <c r="B121" t="s">
        <v>26</v>
      </c>
      <c r="C121">
        <v>7160</v>
      </c>
      <c r="D121" t="s">
        <v>242</v>
      </c>
      <c r="E121" t="str">
        <f>VLOOKUP(D:D,Hoja2!A:B,2,FALSE)</f>
        <v>LUCRINO MARE SA</v>
      </c>
      <c r="F121" t="s">
        <v>105</v>
      </c>
      <c r="G121" t="s">
        <v>18</v>
      </c>
      <c r="H121" t="s">
        <v>242</v>
      </c>
      <c r="I121" t="s">
        <v>252</v>
      </c>
      <c r="J121" s="1">
        <v>20104200</v>
      </c>
      <c r="K121" s="1">
        <v>38279800</v>
      </c>
      <c r="L121" t="s">
        <v>24</v>
      </c>
      <c r="M121" t="s">
        <v>253</v>
      </c>
    </row>
    <row r="122" spans="1:13" x14ac:dyDescent="0.25">
      <c r="A122" t="s">
        <v>13</v>
      </c>
      <c r="B122" t="s">
        <v>26</v>
      </c>
      <c r="C122">
        <v>7184</v>
      </c>
      <c r="D122" t="s">
        <v>242</v>
      </c>
      <c r="E122" t="str">
        <f>VLOOKUP(D:D,Hoja2!A:B,2,FALSE)</f>
        <v>LUCRINO MARE SA</v>
      </c>
      <c r="F122" t="s">
        <v>105</v>
      </c>
      <c r="G122" t="s">
        <v>18</v>
      </c>
      <c r="H122" t="s">
        <v>242</v>
      </c>
      <c r="I122" t="s">
        <v>254</v>
      </c>
      <c r="J122" s="1">
        <v>11727450</v>
      </c>
      <c r="K122" s="1">
        <v>50007250</v>
      </c>
      <c r="L122" t="s">
        <v>24</v>
      </c>
      <c r="M122" t="s">
        <v>255</v>
      </c>
    </row>
    <row r="123" spans="1:13" x14ac:dyDescent="0.25">
      <c r="A123" t="s">
        <v>13</v>
      </c>
      <c r="B123" t="s">
        <v>26</v>
      </c>
      <c r="C123">
        <v>7199</v>
      </c>
      <c r="D123" t="s">
        <v>242</v>
      </c>
      <c r="E123" t="str">
        <f>VLOOKUP(D:D,Hoja2!A:B,2,FALSE)</f>
        <v>LUCRINO MARE SA</v>
      </c>
      <c r="F123" t="s">
        <v>105</v>
      </c>
      <c r="G123" t="s">
        <v>18</v>
      </c>
      <c r="H123" t="s">
        <v>242</v>
      </c>
      <c r="I123" t="s">
        <v>256</v>
      </c>
      <c r="J123" s="1">
        <v>18652230</v>
      </c>
      <c r="K123" s="1">
        <v>68659480</v>
      </c>
      <c r="L123" t="s">
        <v>24</v>
      </c>
      <c r="M123" t="s">
        <v>257</v>
      </c>
    </row>
    <row r="124" spans="1:13" x14ac:dyDescent="0.25">
      <c r="A124" t="s">
        <v>13</v>
      </c>
      <c r="B124" t="s">
        <v>26</v>
      </c>
      <c r="C124">
        <v>7221</v>
      </c>
      <c r="D124" t="s">
        <v>242</v>
      </c>
      <c r="E124" t="str">
        <f>VLOOKUP(D:D,Hoja2!A:B,2,FALSE)</f>
        <v>LUCRINO MARE SA</v>
      </c>
      <c r="F124" t="s">
        <v>105</v>
      </c>
      <c r="G124" t="s">
        <v>18</v>
      </c>
      <c r="H124" t="s">
        <v>242</v>
      </c>
      <c r="I124" t="s">
        <v>36</v>
      </c>
      <c r="J124" s="1">
        <v>11894985</v>
      </c>
      <c r="K124" s="1">
        <v>80554465</v>
      </c>
      <c r="L124" t="s">
        <v>24</v>
      </c>
      <c r="M124" t="s">
        <v>258</v>
      </c>
    </row>
    <row r="125" spans="1:13" x14ac:dyDescent="0.25">
      <c r="A125" t="s">
        <v>13</v>
      </c>
      <c r="B125" t="s">
        <v>26</v>
      </c>
      <c r="C125">
        <v>7236</v>
      </c>
      <c r="D125" t="s">
        <v>242</v>
      </c>
      <c r="E125" t="str">
        <f>VLOOKUP(D:D,Hoja2!A:B,2,FALSE)</f>
        <v>LUCRINO MARE SA</v>
      </c>
      <c r="F125" t="s">
        <v>105</v>
      </c>
      <c r="G125" t="s">
        <v>18</v>
      </c>
      <c r="H125" t="s">
        <v>242</v>
      </c>
      <c r="I125" t="s">
        <v>38</v>
      </c>
      <c r="J125" s="1">
        <v>18540540</v>
      </c>
      <c r="K125" s="1">
        <v>99095005</v>
      </c>
      <c r="L125" t="s">
        <v>24</v>
      </c>
      <c r="M125" t="s">
        <v>259</v>
      </c>
    </row>
    <row r="126" spans="1:13" x14ac:dyDescent="0.25">
      <c r="A126" t="s">
        <v>13</v>
      </c>
      <c r="B126" t="s">
        <v>26</v>
      </c>
      <c r="C126">
        <v>7254</v>
      </c>
      <c r="D126" t="s">
        <v>242</v>
      </c>
      <c r="E126" t="str">
        <f>VLOOKUP(D:D,Hoja2!A:B,2,FALSE)</f>
        <v>LUCRINO MARE SA</v>
      </c>
      <c r="F126" t="s">
        <v>105</v>
      </c>
      <c r="G126" t="s">
        <v>18</v>
      </c>
      <c r="H126" t="s">
        <v>242</v>
      </c>
      <c r="I126" t="s">
        <v>40</v>
      </c>
      <c r="J126" s="1">
        <v>11224845</v>
      </c>
      <c r="K126" s="1">
        <v>110319850</v>
      </c>
      <c r="L126" t="s">
        <v>24</v>
      </c>
      <c r="M126" t="s">
        <v>260</v>
      </c>
    </row>
    <row r="127" spans="1:13" x14ac:dyDescent="0.25">
      <c r="A127" t="s">
        <v>13</v>
      </c>
      <c r="B127" t="s">
        <v>26</v>
      </c>
      <c r="C127">
        <v>7280</v>
      </c>
      <c r="D127" t="s">
        <v>242</v>
      </c>
      <c r="E127" t="str">
        <f>VLOOKUP(D:D,Hoja2!A:B,2,FALSE)</f>
        <v>LUCRINO MARE SA</v>
      </c>
      <c r="F127" t="s">
        <v>105</v>
      </c>
      <c r="G127" t="s">
        <v>18</v>
      </c>
      <c r="H127" t="s">
        <v>242</v>
      </c>
      <c r="I127" t="s">
        <v>42</v>
      </c>
      <c r="J127" s="1">
        <v>3961800</v>
      </c>
      <c r="K127" s="1">
        <v>114281650</v>
      </c>
      <c r="L127" t="s">
        <v>24</v>
      </c>
      <c r="M127" t="s">
        <v>261</v>
      </c>
    </row>
    <row r="128" spans="1:13" x14ac:dyDescent="0.25">
      <c r="A128" t="s">
        <v>13</v>
      </c>
      <c r="B128" t="s">
        <v>26</v>
      </c>
      <c r="C128">
        <v>4662</v>
      </c>
      <c r="D128" t="s">
        <v>262</v>
      </c>
      <c r="E128" t="str">
        <f>VLOOKUP(D:D,Hoja2!A:B,2,FALSE)</f>
        <v>M.Y A. KALIMAR SA</v>
      </c>
      <c r="F128" t="s">
        <v>29</v>
      </c>
      <c r="G128" t="s">
        <v>18</v>
      </c>
      <c r="H128" t="s">
        <v>262</v>
      </c>
      <c r="I128" t="s">
        <v>264</v>
      </c>
      <c r="J128" s="1">
        <v>2174040</v>
      </c>
      <c r="K128" s="1">
        <v>2174040</v>
      </c>
      <c r="L128" t="s">
        <v>24</v>
      </c>
      <c r="M128" t="s">
        <v>265</v>
      </c>
    </row>
    <row r="129" spans="1:13" x14ac:dyDescent="0.25">
      <c r="A129" t="s">
        <v>13</v>
      </c>
      <c r="B129" t="s">
        <v>32</v>
      </c>
      <c r="C129">
        <v>211</v>
      </c>
      <c r="D129" t="s">
        <v>262</v>
      </c>
      <c r="E129" t="str">
        <f>VLOOKUP(D:D,Hoja2!A:B,2,FALSE)</f>
        <v>M.Y A. KALIMAR SA</v>
      </c>
      <c r="F129" t="s">
        <v>29</v>
      </c>
      <c r="G129" t="s">
        <v>18</v>
      </c>
      <c r="H129" t="s">
        <v>262</v>
      </c>
      <c r="I129" t="s">
        <v>266</v>
      </c>
      <c r="J129" s="1">
        <v>-2174040</v>
      </c>
      <c r="K129" s="1">
        <v>0</v>
      </c>
      <c r="L129" t="s">
        <v>24</v>
      </c>
      <c r="M129" t="s">
        <v>267</v>
      </c>
    </row>
    <row r="130" spans="1:13" x14ac:dyDescent="0.25">
      <c r="A130" t="s">
        <v>13</v>
      </c>
      <c r="B130" t="s">
        <v>26</v>
      </c>
      <c r="C130">
        <v>5530</v>
      </c>
      <c r="D130" t="s">
        <v>262</v>
      </c>
      <c r="E130" t="str">
        <f>VLOOKUP(D:D,Hoja2!A:B,2,FALSE)</f>
        <v>M.Y A. KALIMAR SA</v>
      </c>
      <c r="F130" t="s">
        <v>29</v>
      </c>
      <c r="G130" t="s">
        <v>18</v>
      </c>
      <c r="H130" t="s">
        <v>262</v>
      </c>
      <c r="I130" t="s">
        <v>268</v>
      </c>
      <c r="J130" s="1">
        <v>3671640</v>
      </c>
      <c r="K130" s="1">
        <v>3671640</v>
      </c>
      <c r="L130" t="s">
        <v>24</v>
      </c>
      <c r="M130" t="s">
        <v>269</v>
      </c>
    </row>
    <row r="131" spans="1:13" x14ac:dyDescent="0.25">
      <c r="A131" t="s">
        <v>13</v>
      </c>
      <c r="B131" t="s">
        <v>32</v>
      </c>
      <c r="C131">
        <v>226</v>
      </c>
      <c r="D131" t="s">
        <v>262</v>
      </c>
      <c r="E131" t="str">
        <f>VLOOKUP(D:D,Hoja2!A:B,2,FALSE)</f>
        <v>M.Y A. KALIMAR SA</v>
      </c>
      <c r="F131" t="s">
        <v>29</v>
      </c>
      <c r="G131" t="s">
        <v>18</v>
      </c>
      <c r="H131" t="s">
        <v>262</v>
      </c>
      <c r="I131" t="s">
        <v>270</v>
      </c>
      <c r="J131" s="1">
        <v>-3671640</v>
      </c>
      <c r="K131" s="1">
        <v>0</v>
      </c>
      <c r="L131" t="s">
        <v>24</v>
      </c>
      <c r="M131" t="s">
        <v>271</v>
      </c>
    </row>
    <row r="132" spans="1:13" x14ac:dyDescent="0.25">
      <c r="A132" t="s">
        <v>13</v>
      </c>
      <c r="B132" t="s">
        <v>26</v>
      </c>
      <c r="C132">
        <v>5863</v>
      </c>
      <c r="D132" t="s">
        <v>262</v>
      </c>
      <c r="E132" t="str">
        <f>VLOOKUP(D:D,Hoja2!A:B,2,FALSE)</f>
        <v>M.Y A. KALIMAR SA</v>
      </c>
      <c r="F132" t="s">
        <v>29</v>
      </c>
      <c r="G132" t="s">
        <v>18</v>
      </c>
      <c r="H132" t="s">
        <v>262</v>
      </c>
      <c r="I132" t="s">
        <v>272</v>
      </c>
      <c r="J132" s="1">
        <v>2698920</v>
      </c>
      <c r="K132" s="1">
        <v>2698920</v>
      </c>
      <c r="L132" t="s">
        <v>24</v>
      </c>
      <c r="M132" t="s">
        <v>273</v>
      </c>
    </row>
    <row r="133" spans="1:13" x14ac:dyDescent="0.25">
      <c r="A133" t="s">
        <v>13</v>
      </c>
      <c r="B133" t="s">
        <v>32</v>
      </c>
      <c r="C133">
        <v>230</v>
      </c>
      <c r="D133" t="s">
        <v>262</v>
      </c>
      <c r="E133" t="str">
        <f>VLOOKUP(D:D,Hoja2!A:B,2,FALSE)</f>
        <v>M.Y A. KALIMAR SA</v>
      </c>
      <c r="F133" t="s">
        <v>29</v>
      </c>
      <c r="G133" t="s">
        <v>18</v>
      </c>
      <c r="H133" t="s">
        <v>262</v>
      </c>
      <c r="I133" t="s">
        <v>274</v>
      </c>
      <c r="J133" s="1">
        <v>-2698920</v>
      </c>
      <c r="K133" s="1">
        <v>0</v>
      </c>
      <c r="L133" t="s">
        <v>24</v>
      </c>
      <c r="M133" t="s">
        <v>275</v>
      </c>
    </row>
    <row r="134" spans="1:13" x14ac:dyDescent="0.25">
      <c r="A134" t="s">
        <v>13</v>
      </c>
      <c r="B134" t="s">
        <v>73</v>
      </c>
      <c r="C134">
        <v>11000603</v>
      </c>
      <c r="D134" t="s">
        <v>276</v>
      </c>
      <c r="E134" t="str">
        <f>VLOOKUP(D:D,Hoja2!A:B,2,FALSE)</f>
        <v>PESQUERA MAR Y FE SRL</v>
      </c>
      <c r="F134" t="s">
        <v>20</v>
      </c>
      <c r="G134" t="s">
        <v>18</v>
      </c>
      <c r="H134" t="s">
        <v>276</v>
      </c>
      <c r="I134" t="s">
        <v>277</v>
      </c>
      <c r="J134" s="1">
        <v>42.35</v>
      </c>
      <c r="K134" s="1">
        <v>42.35</v>
      </c>
      <c r="L134" t="s">
        <v>76</v>
      </c>
      <c r="M134" t="s">
        <v>278</v>
      </c>
    </row>
    <row r="135" spans="1:13" x14ac:dyDescent="0.25">
      <c r="A135" t="s">
        <v>13</v>
      </c>
      <c r="B135" t="s">
        <v>73</v>
      </c>
      <c r="C135">
        <v>10051176</v>
      </c>
      <c r="D135" t="s">
        <v>276</v>
      </c>
      <c r="E135" t="str">
        <f>VLOOKUP(D:D,Hoja2!A:B,2,FALSE)</f>
        <v>PESQUERA MAR Y FE SRL</v>
      </c>
      <c r="F135" t="s">
        <v>20</v>
      </c>
      <c r="G135" t="s">
        <v>18</v>
      </c>
      <c r="H135" t="s">
        <v>276</v>
      </c>
      <c r="I135" t="s">
        <v>279</v>
      </c>
      <c r="J135" s="1">
        <v>52619.4</v>
      </c>
      <c r="K135" s="1">
        <v>52661.75</v>
      </c>
      <c r="L135" t="s">
        <v>76</v>
      </c>
      <c r="M135" t="s">
        <v>280</v>
      </c>
    </row>
    <row r="136" spans="1:13" x14ac:dyDescent="0.25">
      <c r="A136" t="s">
        <v>13</v>
      </c>
      <c r="B136" t="s">
        <v>73</v>
      </c>
      <c r="C136">
        <v>10051201</v>
      </c>
      <c r="D136" t="s">
        <v>276</v>
      </c>
      <c r="E136" t="str">
        <f>VLOOKUP(D:D,Hoja2!A:B,2,FALSE)</f>
        <v>PESQUERA MAR Y FE SRL</v>
      </c>
      <c r="F136" t="s">
        <v>20</v>
      </c>
      <c r="G136" t="s">
        <v>18</v>
      </c>
      <c r="H136" t="s">
        <v>276</v>
      </c>
      <c r="I136" t="s">
        <v>281</v>
      </c>
      <c r="J136" s="1">
        <v>49104</v>
      </c>
      <c r="K136" s="1">
        <v>101765.75</v>
      </c>
      <c r="L136" t="s">
        <v>76</v>
      </c>
      <c r="M136" t="s">
        <v>282</v>
      </c>
    </row>
    <row r="137" spans="1:13" x14ac:dyDescent="0.25">
      <c r="A137" t="s">
        <v>13</v>
      </c>
      <c r="B137" t="s">
        <v>73</v>
      </c>
      <c r="C137">
        <v>10051210</v>
      </c>
      <c r="D137" t="s">
        <v>276</v>
      </c>
      <c r="E137" t="str">
        <f>VLOOKUP(D:D,Hoja2!A:B,2,FALSE)</f>
        <v>PESQUERA MAR Y FE SRL</v>
      </c>
      <c r="F137" t="s">
        <v>20</v>
      </c>
      <c r="G137" t="s">
        <v>18</v>
      </c>
      <c r="H137" t="s">
        <v>276</v>
      </c>
      <c r="I137" t="s">
        <v>283</v>
      </c>
      <c r="J137" s="1">
        <v>47616</v>
      </c>
      <c r="K137" s="1">
        <v>149381.75</v>
      </c>
      <c r="L137" t="s">
        <v>76</v>
      </c>
      <c r="M137" t="s">
        <v>284</v>
      </c>
    </row>
    <row r="138" spans="1:13" x14ac:dyDescent="0.25">
      <c r="A138" t="s">
        <v>13</v>
      </c>
      <c r="B138" t="s">
        <v>73</v>
      </c>
      <c r="C138">
        <v>10051227</v>
      </c>
      <c r="D138" t="s">
        <v>276</v>
      </c>
      <c r="E138" t="str">
        <f>VLOOKUP(D:D,Hoja2!A:B,2,FALSE)</f>
        <v>PESQUERA MAR Y FE SRL</v>
      </c>
      <c r="F138" t="s">
        <v>20</v>
      </c>
      <c r="G138" t="s">
        <v>18</v>
      </c>
      <c r="H138" t="s">
        <v>276</v>
      </c>
      <c r="I138" t="s">
        <v>285</v>
      </c>
      <c r="J138" s="1">
        <v>54386.400000000001</v>
      </c>
      <c r="K138" s="1">
        <v>203768.15</v>
      </c>
      <c r="L138" t="s">
        <v>76</v>
      </c>
      <c r="M138" t="s">
        <v>286</v>
      </c>
    </row>
    <row r="139" spans="1:13" x14ac:dyDescent="0.25">
      <c r="A139" t="s">
        <v>13</v>
      </c>
      <c r="B139" t="s">
        <v>73</v>
      </c>
      <c r="C139">
        <v>10051239</v>
      </c>
      <c r="D139" t="s">
        <v>276</v>
      </c>
      <c r="E139" t="str">
        <f>VLOOKUP(D:D,Hoja2!A:B,2,FALSE)</f>
        <v>PESQUERA MAR Y FE SRL</v>
      </c>
      <c r="F139" t="s">
        <v>20</v>
      </c>
      <c r="G139" t="s">
        <v>18</v>
      </c>
      <c r="H139" t="s">
        <v>276</v>
      </c>
      <c r="I139" t="s">
        <v>287</v>
      </c>
      <c r="J139" s="1">
        <v>46425.599999999999</v>
      </c>
      <c r="K139" s="1">
        <v>250193.75</v>
      </c>
      <c r="L139" t="s">
        <v>76</v>
      </c>
      <c r="M139" t="s">
        <v>288</v>
      </c>
    </row>
    <row r="140" spans="1:13" x14ac:dyDescent="0.25">
      <c r="A140" t="s">
        <v>13</v>
      </c>
      <c r="B140" t="s">
        <v>26</v>
      </c>
      <c r="C140">
        <v>5771</v>
      </c>
      <c r="D140" t="s">
        <v>289</v>
      </c>
      <c r="E140" t="str">
        <f>VLOOKUP(D:D,Hoja2!A:B,2,FALSE)</f>
        <v>PESCADERIA VICTORIA SRL</v>
      </c>
      <c r="F140" t="s">
        <v>29</v>
      </c>
      <c r="G140" t="s">
        <v>18</v>
      </c>
      <c r="H140" t="s">
        <v>289</v>
      </c>
      <c r="I140" t="s">
        <v>291</v>
      </c>
      <c r="J140" s="1">
        <v>2361.09</v>
      </c>
      <c r="K140" s="1">
        <v>2361.09</v>
      </c>
      <c r="L140" t="s">
        <v>24</v>
      </c>
      <c r="M140" t="s">
        <v>292</v>
      </c>
    </row>
    <row r="141" spans="1:13" x14ac:dyDescent="0.25">
      <c r="A141" t="s">
        <v>13</v>
      </c>
      <c r="B141" t="s">
        <v>26</v>
      </c>
      <c r="C141">
        <v>6486</v>
      </c>
      <c r="D141" t="s">
        <v>289</v>
      </c>
      <c r="E141" t="str">
        <f>VLOOKUP(D:D,Hoja2!A:B,2,FALSE)</f>
        <v>PESCADERIA VICTORIA SRL</v>
      </c>
      <c r="F141" t="s">
        <v>29</v>
      </c>
      <c r="G141" t="s">
        <v>18</v>
      </c>
      <c r="H141" t="s">
        <v>289</v>
      </c>
      <c r="I141" t="s">
        <v>293</v>
      </c>
      <c r="J141" s="1">
        <v>9030000</v>
      </c>
      <c r="K141" s="1">
        <v>9032361.0899999999</v>
      </c>
      <c r="L141" t="s">
        <v>24</v>
      </c>
      <c r="M141" t="s">
        <v>294</v>
      </c>
    </row>
    <row r="142" spans="1:13" x14ac:dyDescent="0.25">
      <c r="A142" t="s">
        <v>13</v>
      </c>
      <c r="B142" t="s">
        <v>32</v>
      </c>
      <c r="C142">
        <v>251</v>
      </c>
      <c r="D142" t="s">
        <v>289</v>
      </c>
      <c r="E142" t="str">
        <f>VLOOKUP(D:D,Hoja2!A:B,2,FALSE)</f>
        <v>PESCADERIA VICTORIA SRL</v>
      </c>
      <c r="F142" t="s">
        <v>29</v>
      </c>
      <c r="G142" t="s">
        <v>18</v>
      </c>
      <c r="H142" t="s">
        <v>289</v>
      </c>
      <c r="I142" t="s">
        <v>293</v>
      </c>
      <c r="J142" s="1">
        <v>-9030000</v>
      </c>
      <c r="K142" s="1">
        <v>2361.0899999998501</v>
      </c>
      <c r="L142" t="s">
        <v>24</v>
      </c>
      <c r="M142" t="s">
        <v>295</v>
      </c>
    </row>
    <row r="143" spans="1:13" x14ac:dyDescent="0.25">
      <c r="A143" t="s">
        <v>13</v>
      </c>
      <c r="B143" t="s">
        <v>26</v>
      </c>
      <c r="C143">
        <v>7261</v>
      </c>
      <c r="D143" t="s">
        <v>289</v>
      </c>
      <c r="E143" t="str">
        <f>VLOOKUP(D:D,Hoja2!A:B,2,FALSE)</f>
        <v>PESCADERIA VICTORIA SRL</v>
      </c>
      <c r="F143" t="s">
        <v>29</v>
      </c>
      <c r="G143" t="s">
        <v>18</v>
      </c>
      <c r="H143" t="s">
        <v>289</v>
      </c>
      <c r="I143" t="s">
        <v>296</v>
      </c>
      <c r="J143" s="1">
        <v>42477120</v>
      </c>
      <c r="K143" s="1">
        <v>42479481.090000004</v>
      </c>
      <c r="L143" t="s">
        <v>24</v>
      </c>
      <c r="M143" t="s">
        <v>297</v>
      </c>
    </row>
    <row r="144" spans="1:13" x14ac:dyDescent="0.25">
      <c r="A144" t="s">
        <v>13</v>
      </c>
      <c r="B144" t="s">
        <v>26</v>
      </c>
      <c r="C144">
        <v>5818</v>
      </c>
      <c r="D144" t="s">
        <v>298</v>
      </c>
      <c r="E144" t="str">
        <f>VLOOKUP(D:D,Hoja2!A:B,2,FALSE)</f>
        <v>COOPERATIVA DE TRABAJO LA VICTORIOSA LTDA.</v>
      </c>
      <c r="F144" t="s">
        <v>29</v>
      </c>
      <c r="G144" t="s">
        <v>18</v>
      </c>
      <c r="H144" t="s">
        <v>298</v>
      </c>
      <c r="I144" t="s">
        <v>300</v>
      </c>
      <c r="J144" s="1">
        <v>16461559.67</v>
      </c>
      <c r="K144" s="1">
        <v>16461559.67</v>
      </c>
      <c r="L144" t="s">
        <v>24</v>
      </c>
      <c r="M144" t="s">
        <v>301</v>
      </c>
    </row>
    <row r="145" spans="1:13" x14ac:dyDescent="0.25">
      <c r="A145" t="s">
        <v>13</v>
      </c>
      <c r="B145" t="s">
        <v>32</v>
      </c>
      <c r="C145">
        <v>229</v>
      </c>
      <c r="D145" t="s">
        <v>298</v>
      </c>
      <c r="E145" t="str">
        <f>VLOOKUP(D:D,Hoja2!A:B,2,FALSE)</f>
        <v>COOPERATIVA DE TRABAJO LA VICTORIOSA LTDA.</v>
      </c>
      <c r="F145" t="s">
        <v>29</v>
      </c>
      <c r="G145" t="s">
        <v>18</v>
      </c>
      <c r="H145" t="s">
        <v>298</v>
      </c>
      <c r="I145" t="s">
        <v>302</v>
      </c>
      <c r="J145" s="1">
        <v>-16461559.67</v>
      </c>
      <c r="K145" s="1">
        <v>0</v>
      </c>
      <c r="L145" t="s">
        <v>24</v>
      </c>
      <c r="M145" t="s">
        <v>138</v>
      </c>
    </row>
    <row r="146" spans="1:13" x14ac:dyDescent="0.25">
      <c r="A146" t="s">
        <v>13</v>
      </c>
      <c r="B146" t="s">
        <v>26</v>
      </c>
      <c r="C146">
        <v>5874</v>
      </c>
      <c r="D146" t="s">
        <v>298</v>
      </c>
      <c r="E146" t="str">
        <f>VLOOKUP(D:D,Hoja2!A:B,2,FALSE)</f>
        <v>COOPERATIVA DE TRABAJO LA VICTORIOSA LTDA.</v>
      </c>
      <c r="F146" t="s">
        <v>29</v>
      </c>
      <c r="G146" t="s">
        <v>18</v>
      </c>
      <c r="H146" t="s">
        <v>298</v>
      </c>
      <c r="I146" t="s">
        <v>303</v>
      </c>
      <c r="J146" s="1">
        <v>892800</v>
      </c>
      <c r="K146" s="1">
        <v>892800</v>
      </c>
      <c r="L146" t="s">
        <v>24</v>
      </c>
      <c r="M146" t="s">
        <v>304</v>
      </c>
    </row>
    <row r="147" spans="1:13" x14ac:dyDescent="0.25">
      <c r="A147" t="s">
        <v>13</v>
      </c>
      <c r="B147" t="s">
        <v>32</v>
      </c>
      <c r="C147">
        <v>231</v>
      </c>
      <c r="D147" t="s">
        <v>298</v>
      </c>
      <c r="E147" t="str">
        <f>VLOOKUP(D:D,Hoja2!A:B,2,FALSE)</f>
        <v>COOPERATIVA DE TRABAJO LA VICTORIOSA LTDA.</v>
      </c>
      <c r="F147" t="s">
        <v>29</v>
      </c>
      <c r="G147" t="s">
        <v>18</v>
      </c>
      <c r="H147" t="s">
        <v>298</v>
      </c>
      <c r="I147" t="s">
        <v>303</v>
      </c>
      <c r="J147" s="1">
        <v>-892800</v>
      </c>
      <c r="K147" s="1">
        <v>0</v>
      </c>
      <c r="L147" t="s">
        <v>24</v>
      </c>
      <c r="M147" t="s">
        <v>305</v>
      </c>
    </row>
    <row r="148" spans="1:13" x14ac:dyDescent="0.25">
      <c r="A148" t="s">
        <v>13</v>
      </c>
      <c r="B148" t="s">
        <v>26</v>
      </c>
      <c r="C148">
        <v>6482</v>
      </c>
      <c r="D148" t="s">
        <v>298</v>
      </c>
      <c r="E148" t="str">
        <f>VLOOKUP(D:D,Hoja2!A:B,2,FALSE)</f>
        <v>COOPERATIVA DE TRABAJO LA VICTORIOSA LTDA.</v>
      </c>
      <c r="F148" t="s">
        <v>29</v>
      </c>
      <c r="G148" t="s">
        <v>18</v>
      </c>
      <c r="H148" t="s">
        <v>298</v>
      </c>
      <c r="I148" t="s">
        <v>306</v>
      </c>
      <c r="J148" s="1">
        <v>3968000</v>
      </c>
      <c r="K148" s="1">
        <v>3968000</v>
      </c>
      <c r="L148" t="s">
        <v>24</v>
      </c>
      <c r="M148" t="s">
        <v>307</v>
      </c>
    </row>
    <row r="149" spans="1:13" x14ac:dyDescent="0.25">
      <c r="A149" t="s">
        <v>13</v>
      </c>
      <c r="B149" t="s">
        <v>32</v>
      </c>
      <c r="C149">
        <v>250</v>
      </c>
      <c r="D149" t="s">
        <v>298</v>
      </c>
      <c r="E149" t="str">
        <f>VLOOKUP(D:D,Hoja2!A:B,2,FALSE)</f>
        <v>COOPERATIVA DE TRABAJO LA VICTORIOSA LTDA.</v>
      </c>
      <c r="F149" t="s">
        <v>29</v>
      </c>
      <c r="G149" t="s">
        <v>18</v>
      </c>
      <c r="H149" t="s">
        <v>298</v>
      </c>
      <c r="I149" t="s">
        <v>306</v>
      </c>
      <c r="J149" s="1">
        <v>-3968000</v>
      </c>
      <c r="K149" s="1">
        <v>0</v>
      </c>
      <c r="L149" t="s">
        <v>24</v>
      </c>
      <c r="M149" t="s">
        <v>308</v>
      </c>
    </row>
    <row r="150" spans="1:13" x14ac:dyDescent="0.25">
      <c r="A150" t="s">
        <v>13</v>
      </c>
      <c r="B150" t="s">
        <v>26</v>
      </c>
      <c r="C150">
        <v>6549</v>
      </c>
      <c r="D150" t="s">
        <v>298</v>
      </c>
      <c r="E150" t="str">
        <f>VLOOKUP(D:D,Hoja2!A:B,2,FALSE)</f>
        <v>COOPERATIVA DE TRABAJO LA VICTORIOSA LTDA.</v>
      </c>
      <c r="F150" t="s">
        <v>29</v>
      </c>
      <c r="G150" t="s">
        <v>18</v>
      </c>
      <c r="H150" t="s">
        <v>298</v>
      </c>
      <c r="I150" t="s">
        <v>309</v>
      </c>
      <c r="J150" s="1">
        <v>4216000</v>
      </c>
      <c r="K150" s="1">
        <v>4216000</v>
      </c>
      <c r="L150" t="s">
        <v>24</v>
      </c>
      <c r="M150" t="s">
        <v>310</v>
      </c>
    </row>
    <row r="151" spans="1:13" x14ac:dyDescent="0.25">
      <c r="A151" t="s">
        <v>13</v>
      </c>
      <c r="B151" t="s">
        <v>32</v>
      </c>
      <c r="C151">
        <v>253</v>
      </c>
      <c r="D151" t="s">
        <v>298</v>
      </c>
      <c r="E151" t="str">
        <f>VLOOKUP(D:D,Hoja2!A:B,2,FALSE)</f>
        <v>COOPERATIVA DE TRABAJO LA VICTORIOSA LTDA.</v>
      </c>
      <c r="F151" t="s">
        <v>29</v>
      </c>
      <c r="G151" t="s">
        <v>18</v>
      </c>
      <c r="H151" t="s">
        <v>298</v>
      </c>
      <c r="I151" t="s">
        <v>309</v>
      </c>
      <c r="J151" s="1">
        <v>-4216000</v>
      </c>
      <c r="K151" s="1">
        <v>0</v>
      </c>
      <c r="L151" t="s">
        <v>24</v>
      </c>
      <c r="M151" t="s">
        <v>311</v>
      </c>
    </row>
    <row r="152" spans="1:13" x14ac:dyDescent="0.25">
      <c r="A152" t="s">
        <v>13</v>
      </c>
      <c r="B152" t="s">
        <v>26</v>
      </c>
      <c r="C152">
        <v>1678</v>
      </c>
      <c r="D152" t="s">
        <v>312</v>
      </c>
      <c r="E152" t="str">
        <f>VLOOKUP(D:D,Hoja2!A:B,2,FALSE)</f>
        <v>FOOD ARTS S.A.</v>
      </c>
      <c r="F152" t="s">
        <v>17</v>
      </c>
      <c r="G152" t="s">
        <v>18</v>
      </c>
      <c r="H152" t="s">
        <v>312</v>
      </c>
      <c r="I152" t="s">
        <v>314</v>
      </c>
      <c r="J152" s="1">
        <v>2315700</v>
      </c>
      <c r="K152" s="1">
        <v>2315700</v>
      </c>
      <c r="L152" t="s">
        <v>24</v>
      </c>
      <c r="M152" t="s">
        <v>315</v>
      </c>
    </row>
    <row r="153" spans="1:13" x14ac:dyDescent="0.25">
      <c r="A153" t="s">
        <v>13</v>
      </c>
      <c r="B153" t="s">
        <v>32</v>
      </c>
      <c r="C153">
        <v>74</v>
      </c>
      <c r="D153" t="s">
        <v>312</v>
      </c>
      <c r="E153" t="str">
        <f>VLOOKUP(D:D,Hoja2!A:B,2,FALSE)</f>
        <v>FOOD ARTS S.A.</v>
      </c>
      <c r="F153" t="s">
        <v>17</v>
      </c>
      <c r="G153" t="s">
        <v>18</v>
      </c>
      <c r="H153" t="s">
        <v>312</v>
      </c>
      <c r="I153" t="s">
        <v>316</v>
      </c>
      <c r="J153" s="1">
        <v>-2315700</v>
      </c>
      <c r="K153" s="1">
        <v>0</v>
      </c>
      <c r="L153" t="s">
        <v>24</v>
      </c>
      <c r="M153" t="s">
        <v>317</v>
      </c>
    </row>
    <row r="154" spans="1:13" x14ac:dyDescent="0.25">
      <c r="A154" t="s">
        <v>13</v>
      </c>
      <c r="B154" t="s">
        <v>26</v>
      </c>
      <c r="C154">
        <v>205</v>
      </c>
      <c r="D154" t="s">
        <v>318</v>
      </c>
      <c r="E154" t="str">
        <f>VLOOKUP(D:D,Hoja2!A:B,2,FALSE)</f>
        <v>COMERCIAL INAL 2005 SA</v>
      </c>
      <c r="F154" t="s">
        <v>29</v>
      </c>
      <c r="G154" t="s">
        <v>18</v>
      </c>
      <c r="H154" t="s">
        <v>318</v>
      </c>
      <c r="I154" t="s">
        <v>91</v>
      </c>
      <c r="J154" s="1">
        <v>125090.63</v>
      </c>
      <c r="K154" s="1">
        <v>125090.63</v>
      </c>
      <c r="L154" t="s">
        <v>24</v>
      </c>
      <c r="M154" t="s">
        <v>320</v>
      </c>
    </row>
    <row r="155" spans="1:13" x14ac:dyDescent="0.25">
      <c r="A155" t="s">
        <v>13</v>
      </c>
      <c r="B155" t="s">
        <v>26</v>
      </c>
      <c r="C155">
        <v>206</v>
      </c>
      <c r="D155" t="s">
        <v>318</v>
      </c>
      <c r="E155" t="str">
        <f>VLOOKUP(D:D,Hoja2!A:B,2,FALSE)</f>
        <v>COMERCIAL INAL 2005 SA</v>
      </c>
      <c r="F155" t="s">
        <v>29</v>
      </c>
      <c r="G155" t="s">
        <v>18</v>
      </c>
      <c r="H155" t="s">
        <v>318</v>
      </c>
      <c r="I155" t="s">
        <v>91</v>
      </c>
      <c r="J155" s="1">
        <v>119404.69</v>
      </c>
      <c r="K155" s="1">
        <v>244495.32</v>
      </c>
      <c r="L155" t="s">
        <v>24</v>
      </c>
      <c r="M155" t="s">
        <v>321</v>
      </c>
    </row>
    <row r="156" spans="1:13" x14ac:dyDescent="0.25">
      <c r="A156" t="s">
        <v>13</v>
      </c>
      <c r="B156" t="s">
        <v>26</v>
      </c>
      <c r="C156">
        <v>207</v>
      </c>
      <c r="D156" t="s">
        <v>318</v>
      </c>
      <c r="E156" t="str">
        <f>VLOOKUP(D:D,Hoja2!A:B,2,FALSE)</f>
        <v>COMERCIAL INAL 2005 SA</v>
      </c>
      <c r="F156" t="s">
        <v>29</v>
      </c>
      <c r="G156" t="s">
        <v>18</v>
      </c>
      <c r="H156" t="s">
        <v>318</v>
      </c>
      <c r="I156" t="s">
        <v>91</v>
      </c>
      <c r="J156" s="1">
        <v>24297.599999999999</v>
      </c>
      <c r="K156" s="1">
        <v>268792.92</v>
      </c>
      <c r="L156" t="s">
        <v>24</v>
      </c>
      <c r="M156" t="s">
        <v>322</v>
      </c>
    </row>
    <row r="157" spans="1:13" x14ac:dyDescent="0.25">
      <c r="A157" t="s">
        <v>13</v>
      </c>
      <c r="B157" t="s">
        <v>26</v>
      </c>
      <c r="C157">
        <v>221</v>
      </c>
      <c r="D157" t="s">
        <v>318</v>
      </c>
      <c r="E157" t="str">
        <f>VLOOKUP(D:D,Hoja2!A:B,2,FALSE)</f>
        <v>COMERCIAL INAL 2005 SA</v>
      </c>
      <c r="F157" t="s">
        <v>29</v>
      </c>
      <c r="G157" t="s">
        <v>18</v>
      </c>
      <c r="H157" t="s">
        <v>318</v>
      </c>
      <c r="I157" t="s">
        <v>91</v>
      </c>
      <c r="J157" s="1">
        <v>101588.75</v>
      </c>
      <c r="K157" s="1">
        <v>370381.67</v>
      </c>
      <c r="L157" t="s">
        <v>24</v>
      </c>
      <c r="M157" t="s">
        <v>323</v>
      </c>
    </row>
    <row r="158" spans="1:13" x14ac:dyDescent="0.25">
      <c r="A158" t="s">
        <v>13</v>
      </c>
      <c r="B158" t="s">
        <v>26</v>
      </c>
      <c r="C158">
        <v>222</v>
      </c>
      <c r="D158" t="s">
        <v>318</v>
      </c>
      <c r="E158" t="str">
        <f>VLOOKUP(D:D,Hoja2!A:B,2,FALSE)</f>
        <v>COMERCIAL INAL 2005 SA</v>
      </c>
      <c r="F158" t="s">
        <v>29</v>
      </c>
      <c r="G158" t="s">
        <v>18</v>
      </c>
      <c r="H158" t="s">
        <v>318</v>
      </c>
      <c r="I158" t="s">
        <v>91</v>
      </c>
      <c r="J158" s="1">
        <v>98556.25</v>
      </c>
      <c r="K158" s="1">
        <v>468937.92</v>
      </c>
      <c r="L158" t="s">
        <v>24</v>
      </c>
      <c r="M158" t="s">
        <v>324</v>
      </c>
    </row>
    <row r="159" spans="1:13" x14ac:dyDescent="0.25">
      <c r="A159" t="s">
        <v>13</v>
      </c>
      <c r="B159" t="s">
        <v>26</v>
      </c>
      <c r="C159">
        <v>231</v>
      </c>
      <c r="D159" t="s">
        <v>318</v>
      </c>
      <c r="E159" t="str">
        <f>VLOOKUP(D:D,Hoja2!A:B,2,FALSE)</f>
        <v>COMERCIAL INAL 2005 SA</v>
      </c>
      <c r="F159" t="s">
        <v>29</v>
      </c>
      <c r="G159" t="s">
        <v>18</v>
      </c>
      <c r="H159" t="s">
        <v>318</v>
      </c>
      <c r="I159" t="s">
        <v>325</v>
      </c>
      <c r="J159" s="1">
        <v>24297.599999999999</v>
      </c>
      <c r="K159" s="1">
        <v>493235.52</v>
      </c>
      <c r="L159" t="s">
        <v>24</v>
      </c>
      <c r="M159" t="s">
        <v>305</v>
      </c>
    </row>
    <row r="160" spans="1:13" x14ac:dyDescent="0.25">
      <c r="A160" t="s">
        <v>13</v>
      </c>
      <c r="B160" t="s">
        <v>32</v>
      </c>
      <c r="C160">
        <v>18</v>
      </c>
      <c r="D160" t="s">
        <v>318</v>
      </c>
      <c r="E160" t="str">
        <f>VLOOKUP(D:D,Hoja2!A:B,2,FALSE)</f>
        <v>COMERCIAL INAL 2005 SA</v>
      </c>
      <c r="F160" t="s">
        <v>29</v>
      </c>
      <c r="G160" t="s">
        <v>18</v>
      </c>
      <c r="H160" t="s">
        <v>318</v>
      </c>
      <c r="I160" t="s">
        <v>325</v>
      </c>
      <c r="J160" s="1">
        <v>-24297.599999999999</v>
      </c>
      <c r="K160" s="1">
        <v>468937.92</v>
      </c>
      <c r="L160" t="s">
        <v>24</v>
      </c>
      <c r="M160" t="s">
        <v>326</v>
      </c>
    </row>
    <row r="161" spans="1:13" x14ac:dyDescent="0.25">
      <c r="A161" t="s">
        <v>13</v>
      </c>
      <c r="B161" t="s">
        <v>26</v>
      </c>
      <c r="C161">
        <v>205</v>
      </c>
      <c r="D161" t="s">
        <v>318</v>
      </c>
      <c r="E161" t="str">
        <f>VLOOKUP(D:D,Hoja2!A:B,2,FALSE)</f>
        <v>COMERCIAL INAL 2005 SA</v>
      </c>
      <c r="F161" t="s">
        <v>29</v>
      </c>
      <c r="G161" t="s">
        <v>61</v>
      </c>
      <c r="H161" t="s">
        <v>318</v>
      </c>
      <c r="I161" t="s">
        <v>139</v>
      </c>
      <c r="J161" s="1">
        <v>-125090.63</v>
      </c>
      <c r="K161" s="1">
        <v>343847.29</v>
      </c>
      <c r="L161" t="s">
        <v>24</v>
      </c>
      <c r="M161" t="s">
        <v>320</v>
      </c>
    </row>
    <row r="162" spans="1:13" x14ac:dyDescent="0.25">
      <c r="A162" t="s">
        <v>13</v>
      </c>
      <c r="B162" t="s">
        <v>26</v>
      </c>
      <c r="C162">
        <v>206</v>
      </c>
      <c r="D162" t="s">
        <v>318</v>
      </c>
      <c r="E162" t="str">
        <f>VLOOKUP(D:D,Hoja2!A:B,2,FALSE)</f>
        <v>COMERCIAL INAL 2005 SA</v>
      </c>
      <c r="F162" t="s">
        <v>29</v>
      </c>
      <c r="G162" t="s">
        <v>61</v>
      </c>
      <c r="H162" t="s">
        <v>318</v>
      </c>
      <c r="I162" t="s">
        <v>139</v>
      </c>
      <c r="J162" s="1">
        <v>-119404.69</v>
      </c>
      <c r="K162" s="1">
        <v>224442.6</v>
      </c>
      <c r="L162" t="s">
        <v>24</v>
      </c>
      <c r="M162" t="s">
        <v>321</v>
      </c>
    </row>
    <row r="163" spans="1:13" x14ac:dyDescent="0.25">
      <c r="A163" t="s">
        <v>13</v>
      </c>
      <c r="B163" t="s">
        <v>26</v>
      </c>
      <c r="C163">
        <v>221</v>
      </c>
      <c r="D163" t="s">
        <v>318</v>
      </c>
      <c r="E163" t="str">
        <f>VLOOKUP(D:D,Hoja2!A:B,2,FALSE)</f>
        <v>COMERCIAL INAL 2005 SA</v>
      </c>
      <c r="F163" t="s">
        <v>29</v>
      </c>
      <c r="G163" t="s">
        <v>61</v>
      </c>
      <c r="H163" t="s">
        <v>318</v>
      </c>
      <c r="I163" t="s">
        <v>139</v>
      </c>
      <c r="J163" s="1">
        <v>-101588.75</v>
      </c>
      <c r="K163" s="1">
        <v>122853.85</v>
      </c>
      <c r="L163" t="s">
        <v>24</v>
      </c>
      <c r="M163" t="s">
        <v>323</v>
      </c>
    </row>
    <row r="164" spans="1:13" x14ac:dyDescent="0.25">
      <c r="A164" t="s">
        <v>13</v>
      </c>
      <c r="B164" t="s">
        <v>26</v>
      </c>
      <c r="C164">
        <v>222</v>
      </c>
      <c r="D164" t="s">
        <v>318</v>
      </c>
      <c r="E164" t="str">
        <f>VLOOKUP(D:D,Hoja2!A:B,2,FALSE)</f>
        <v>COMERCIAL INAL 2005 SA</v>
      </c>
      <c r="F164" t="s">
        <v>29</v>
      </c>
      <c r="G164" t="s">
        <v>61</v>
      </c>
      <c r="H164" t="s">
        <v>318</v>
      </c>
      <c r="I164" t="s">
        <v>139</v>
      </c>
      <c r="J164" s="1">
        <v>-98556.25</v>
      </c>
      <c r="K164" s="1">
        <v>24297.599999999999</v>
      </c>
      <c r="L164" t="s">
        <v>24</v>
      </c>
      <c r="M164" t="s">
        <v>324</v>
      </c>
    </row>
    <row r="165" spans="1:13" x14ac:dyDescent="0.25">
      <c r="A165" t="s">
        <v>13</v>
      </c>
      <c r="B165" t="s">
        <v>26</v>
      </c>
      <c r="C165">
        <v>231</v>
      </c>
      <c r="D165" t="s">
        <v>318</v>
      </c>
      <c r="E165" t="str">
        <f>VLOOKUP(D:D,Hoja2!A:B,2,FALSE)</f>
        <v>COMERCIAL INAL 2005 SA</v>
      </c>
      <c r="F165" t="s">
        <v>29</v>
      </c>
      <c r="G165" t="s">
        <v>61</v>
      </c>
      <c r="H165" t="s">
        <v>318</v>
      </c>
      <c r="I165" t="s">
        <v>139</v>
      </c>
      <c r="J165" s="1">
        <v>-24297.599999999999</v>
      </c>
      <c r="K165" s="1">
        <v>-2.18278728425503E-11</v>
      </c>
      <c r="L165" t="s">
        <v>24</v>
      </c>
      <c r="M165" t="s">
        <v>305</v>
      </c>
    </row>
    <row r="166" spans="1:13" x14ac:dyDescent="0.25">
      <c r="A166" t="s">
        <v>13</v>
      </c>
      <c r="B166" t="s">
        <v>26</v>
      </c>
      <c r="C166">
        <v>7292</v>
      </c>
      <c r="D166" t="s">
        <v>318</v>
      </c>
      <c r="E166" t="str">
        <f>VLOOKUP(D:D,Hoja2!A:B,2,FALSE)</f>
        <v>COMERCIAL INAL 2005 SA</v>
      </c>
      <c r="F166" t="s">
        <v>29</v>
      </c>
      <c r="G166" t="s">
        <v>18</v>
      </c>
      <c r="H166" t="s">
        <v>318</v>
      </c>
      <c r="I166" t="s">
        <v>44</v>
      </c>
      <c r="J166" s="1">
        <v>28540242.5</v>
      </c>
      <c r="K166" s="1">
        <v>28540242.5</v>
      </c>
      <c r="L166" t="s">
        <v>24</v>
      </c>
      <c r="M166" t="s">
        <v>327</v>
      </c>
    </row>
    <row r="167" spans="1:13" x14ac:dyDescent="0.25">
      <c r="A167" t="s">
        <v>13</v>
      </c>
      <c r="B167" t="s">
        <v>32</v>
      </c>
      <c r="C167">
        <v>33</v>
      </c>
      <c r="D167" t="s">
        <v>328</v>
      </c>
      <c r="E167" t="str">
        <f>VLOOKUP(D:D,Hoja2!A:B,2,FALSE)</f>
        <v>AGROPEZ SA</v>
      </c>
      <c r="F167" t="s">
        <v>29</v>
      </c>
      <c r="G167" t="s">
        <v>18</v>
      </c>
      <c r="H167" t="s">
        <v>328</v>
      </c>
      <c r="I167" t="s">
        <v>330</v>
      </c>
      <c r="J167" s="1">
        <v>-6363.82</v>
      </c>
      <c r="K167" s="1">
        <v>-6363.82</v>
      </c>
      <c r="L167" t="s">
        <v>24</v>
      </c>
      <c r="M167" t="s">
        <v>331</v>
      </c>
    </row>
    <row r="168" spans="1:13" x14ac:dyDescent="0.25">
      <c r="A168" t="s">
        <v>13</v>
      </c>
      <c r="B168" t="s">
        <v>57</v>
      </c>
      <c r="C168">
        <v>21</v>
      </c>
      <c r="D168" t="s">
        <v>328</v>
      </c>
      <c r="E168" t="str">
        <f>VLOOKUP(D:D,Hoja2!A:B,2,FALSE)</f>
        <v>AGROPEZ SA</v>
      </c>
      <c r="F168" t="s">
        <v>29</v>
      </c>
      <c r="G168" t="s">
        <v>18</v>
      </c>
      <c r="H168" t="s">
        <v>328</v>
      </c>
      <c r="I168" t="s">
        <v>332</v>
      </c>
      <c r="J168" s="1">
        <v>214.27</v>
      </c>
      <c r="K168" s="1">
        <v>-6149.55</v>
      </c>
      <c r="L168" t="s">
        <v>24</v>
      </c>
      <c r="M168" t="s">
        <v>333</v>
      </c>
    </row>
    <row r="169" spans="1:13" x14ac:dyDescent="0.25">
      <c r="A169" t="s">
        <v>13</v>
      </c>
      <c r="B169" t="s">
        <v>32</v>
      </c>
      <c r="C169">
        <v>54</v>
      </c>
      <c r="D169" t="s">
        <v>328</v>
      </c>
      <c r="E169" t="str">
        <f>VLOOKUP(D:D,Hoja2!A:B,2,FALSE)</f>
        <v>AGROPEZ SA</v>
      </c>
      <c r="F169" t="s">
        <v>29</v>
      </c>
      <c r="G169" t="s">
        <v>18</v>
      </c>
      <c r="H169" t="s">
        <v>328</v>
      </c>
      <c r="I169" t="s">
        <v>334</v>
      </c>
      <c r="J169" s="1">
        <v>-229513.98</v>
      </c>
      <c r="K169" s="1">
        <v>-235663.53</v>
      </c>
      <c r="L169" t="s">
        <v>24</v>
      </c>
      <c r="M169" t="s">
        <v>335</v>
      </c>
    </row>
    <row r="170" spans="1:13" x14ac:dyDescent="0.25">
      <c r="A170" t="s">
        <v>13</v>
      </c>
      <c r="B170" t="s">
        <v>32</v>
      </c>
      <c r="C170">
        <v>56</v>
      </c>
      <c r="D170" t="s">
        <v>328</v>
      </c>
      <c r="E170" t="str">
        <f>VLOOKUP(D:D,Hoja2!A:B,2,FALSE)</f>
        <v>AGROPEZ SA</v>
      </c>
      <c r="F170" t="s">
        <v>29</v>
      </c>
      <c r="G170" t="s">
        <v>18</v>
      </c>
      <c r="H170" t="s">
        <v>328</v>
      </c>
      <c r="I170" t="s">
        <v>336</v>
      </c>
      <c r="J170" s="1">
        <v>-145713.82</v>
      </c>
      <c r="K170" s="1">
        <v>-381377.35</v>
      </c>
      <c r="L170" t="s">
        <v>24</v>
      </c>
      <c r="M170" t="s">
        <v>337</v>
      </c>
    </row>
    <row r="171" spans="1:13" x14ac:dyDescent="0.25">
      <c r="A171" t="s">
        <v>13</v>
      </c>
      <c r="B171" t="s">
        <v>57</v>
      </c>
      <c r="C171">
        <v>25</v>
      </c>
      <c r="D171" t="s">
        <v>338</v>
      </c>
      <c r="E171" t="str">
        <f>VLOOKUP(D:D,Hoja2!A:B,2,FALSE)</f>
        <v>VISTEMAR SA</v>
      </c>
      <c r="F171" t="s">
        <v>29</v>
      </c>
      <c r="G171" t="s">
        <v>18</v>
      </c>
      <c r="H171" t="s">
        <v>338</v>
      </c>
      <c r="I171" t="s">
        <v>340</v>
      </c>
      <c r="J171" s="1">
        <v>77483.98</v>
      </c>
      <c r="K171" s="1">
        <v>77483.98</v>
      </c>
      <c r="L171" t="s">
        <v>24</v>
      </c>
      <c r="M171" t="s">
        <v>341</v>
      </c>
    </row>
    <row r="172" spans="1:13" x14ac:dyDescent="0.25">
      <c r="A172" t="s">
        <v>13</v>
      </c>
      <c r="B172" t="s">
        <v>100</v>
      </c>
      <c r="C172">
        <v>46</v>
      </c>
      <c r="D172" t="s">
        <v>338</v>
      </c>
      <c r="E172" t="str">
        <f>VLOOKUP(D:D,Hoja2!A:B,2,FALSE)</f>
        <v>VISTEMAR SA</v>
      </c>
      <c r="F172" t="s">
        <v>29</v>
      </c>
      <c r="G172" t="s">
        <v>18</v>
      </c>
      <c r="H172" t="s">
        <v>338</v>
      </c>
      <c r="I172" t="s">
        <v>342</v>
      </c>
      <c r="J172" s="1">
        <v>-77483.98</v>
      </c>
      <c r="K172" s="1">
        <v>0</v>
      </c>
      <c r="L172" t="s">
        <v>76</v>
      </c>
      <c r="M172" t="s">
        <v>343</v>
      </c>
    </row>
    <row r="173" spans="1:13" x14ac:dyDescent="0.25">
      <c r="A173" t="s">
        <v>13</v>
      </c>
      <c r="B173" t="s">
        <v>57</v>
      </c>
      <c r="C173">
        <v>23</v>
      </c>
      <c r="D173" t="s">
        <v>344</v>
      </c>
      <c r="E173" t="str">
        <f>VLOOKUP(D:D,Hoja2!A:B,2,FALSE)</f>
        <v>LUDAPEZ SA</v>
      </c>
      <c r="F173" t="s">
        <v>29</v>
      </c>
      <c r="G173" t="s">
        <v>18</v>
      </c>
      <c r="H173" t="s">
        <v>344</v>
      </c>
      <c r="I173" t="s">
        <v>340</v>
      </c>
      <c r="J173" s="1">
        <v>90638.02</v>
      </c>
      <c r="K173" s="1">
        <v>90638.02</v>
      </c>
      <c r="L173" t="s">
        <v>24</v>
      </c>
      <c r="M173" t="s">
        <v>346</v>
      </c>
    </row>
    <row r="174" spans="1:13" x14ac:dyDescent="0.25">
      <c r="A174" t="s">
        <v>13</v>
      </c>
      <c r="B174" t="s">
        <v>100</v>
      </c>
      <c r="C174">
        <v>45</v>
      </c>
      <c r="D174" t="s">
        <v>344</v>
      </c>
      <c r="E174" t="str">
        <f>VLOOKUP(D:D,Hoja2!A:B,2,FALSE)</f>
        <v>LUDAPEZ SA</v>
      </c>
      <c r="F174" t="s">
        <v>29</v>
      </c>
      <c r="G174" t="s">
        <v>18</v>
      </c>
      <c r="H174" t="s">
        <v>344</v>
      </c>
      <c r="I174" t="s">
        <v>342</v>
      </c>
      <c r="J174" s="1">
        <v>-90638.02</v>
      </c>
      <c r="K174" s="1">
        <v>0</v>
      </c>
      <c r="L174" t="s">
        <v>76</v>
      </c>
      <c r="M174" t="s">
        <v>347</v>
      </c>
    </row>
    <row r="175" spans="1:13" x14ac:dyDescent="0.25">
      <c r="A175" t="s">
        <v>13</v>
      </c>
      <c r="B175" t="s">
        <v>26</v>
      </c>
      <c r="C175">
        <v>7237</v>
      </c>
      <c r="D175" t="s">
        <v>344</v>
      </c>
      <c r="E175" t="str">
        <f>VLOOKUP(D:D,Hoja2!A:B,2,FALSE)</f>
        <v>LUDAPEZ SA</v>
      </c>
      <c r="F175" t="s">
        <v>29</v>
      </c>
      <c r="G175" t="s">
        <v>18</v>
      </c>
      <c r="H175" t="s">
        <v>344</v>
      </c>
      <c r="I175" t="s">
        <v>38</v>
      </c>
      <c r="J175" s="1">
        <v>9237800</v>
      </c>
      <c r="K175" s="1">
        <v>9237800</v>
      </c>
      <c r="L175" t="s">
        <v>24</v>
      </c>
      <c r="M175" t="s">
        <v>348</v>
      </c>
    </row>
    <row r="176" spans="1:13" x14ac:dyDescent="0.25">
      <c r="A176" t="s">
        <v>13</v>
      </c>
      <c r="B176" t="s">
        <v>26</v>
      </c>
      <c r="C176">
        <v>7281</v>
      </c>
      <c r="D176" t="s">
        <v>344</v>
      </c>
      <c r="E176" t="str">
        <f>VLOOKUP(D:D,Hoja2!A:B,2,FALSE)</f>
        <v>LUDAPEZ SA</v>
      </c>
      <c r="F176" t="s">
        <v>29</v>
      </c>
      <c r="G176" t="s">
        <v>18</v>
      </c>
      <c r="H176" t="s">
        <v>344</v>
      </c>
      <c r="I176" t="s">
        <v>42</v>
      </c>
      <c r="J176" s="1">
        <v>12566125</v>
      </c>
      <c r="K176" s="1">
        <v>21803925</v>
      </c>
      <c r="L176" t="s">
        <v>24</v>
      </c>
      <c r="M176" t="s">
        <v>349</v>
      </c>
    </row>
    <row r="177" spans="1:13" x14ac:dyDescent="0.25">
      <c r="A177" t="s">
        <v>13</v>
      </c>
      <c r="B177" t="s">
        <v>26</v>
      </c>
      <c r="C177">
        <v>7299</v>
      </c>
      <c r="D177" t="s">
        <v>344</v>
      </c>
      <c r="E177" t="str">
        <f>VLOOKUP(D:D,Hoja2!A:B,2,FALSE)</f>
        <v>LUDAPEZ SA</v>
      </c>
      <c r="F177" t="s">
        <v>29</v>
      </c>
      <c r="G177" t="s">
        <v>18</v>
      </c>
      <c r="H177" t="s">
        <v>344</v>
      </c>
      <c r="I177" t="s">
        <v>44</v>
      </c>
      <c r="J177" s="1">
        <v>14671800</v>
      </c>
      <c r="K177" s="1">
        <v>36475725</v>
      </c>
      <c r="L177" t="s">
        <v>24</v>
      </c>
      <c r="M177" t="s">
        <v>350</v>
      </c>
    </row>
    <row r="178" spans="1:13" x14ac:dyDescent="0.25">
      <c r="A178" t="s">
        <v>13</v>
      </c>
      <c r="B178" t="s">
        <v>26</v>
      </c>
      <c r="C178">
        <v>961</v>
      </c>
      <c r="D178" t="s">
        <v>351</v>
      </c>
      <c r="E178" t="str">
        <f>VLOOKUP(D:D,Hoja2!A:B,2,FALSE)</f>
        <v>ARTEPESCA SA</v>
      </c>
      <c r="F178" t="s">
        <v>29</v>
      </c>
      <c r="G178" t="s">
        <v>18</v>
      </c>
      <c r="H178" t="s">
        <v>351</v>
      </c>
      <c r="I178" t="s">
        <v>353</v>
      </c>
      <c r="J178" s="1">
        <v>348636.96</v>
      </c>
      <c r="K178" s="1">
        <v>348636.96</v>
      </c>
      <c r="L178" t="s">
        <v>24</v>
      </c>
      <c r="M178" t="s">
        <v>354</v>
      </c>
    </row>
    <row r="179" spans="1:13" x14ac:dyDescent="0.25">
      <c r="A179" t="s">
        <v>13</v>
      </c>
      <c r="B179" t="s">
        <v>26</v>
      </c>
      <c r="C179">
        <v>962</v>
      </c>
      <c r="D179" t="s">
        <v>351</v>
      </c>
      <c r="E179" t="str">
        <f>VLOOKUP(D:D,Hoja2!A:B,2,FALSE)</f>
        <v>ARTEPESCA SA</v>
      </c>
      <c r="F179" t="s">
        <v>29</v>
      </c>
      <c r="G179" t="s">
        <v>18</v>
      </c>
      <c r="H179" t="s">
        <v>351</v>
      </c>
      <c r="I179" t="s">
        <v>353</v>
      </c>
      <c r="J179" s="1">
        <v>116212.32</v>
      </c>
      <c r="K179" s="1">
        <v>464849.28</v>
      </c>
      <c r="L179" t="s">
        <v>24</v>
      </c>
      <c r="M179" t="s">
        <v>355</v>
      </c>
    </row>
    <row r="180" spans="1:13" x14ac:dyDescent="0.25">
      <c r="A180" t="s">
        <v>13</v>
      </c>
      <c r="B180" t="s">
        <v>32</v>
      </c>
      <c r="C180">
        <v>50</v>
      </c>
      <c r="D180" t="s">
        <v>351</v>
      </c>
      <c r="E180" t="str">
        <f>VLOOKUP(D:D,Hoja2!A:B,2,FALSE)</f>
        <v>ARTEPESCA SA</v>
      </c>
      <c r="F180" t="s">
        <v>29</v>
      </c>
      <c r="G180" t="s">
        <v>18</v>
      </c>
      <c r="H180" t="s">
        <v>351</v>
      </c>
      <c r="I180" t="s">
        <v>356</v>
      </c>
      <c r="J180" s="1">
        <v>-348636.96</v>
      </c>
      <c r="K180" s="1">
        <v>116212.32</v>
      </c>
      <c r="L180" t="s">
        <v>24</v>
      </c>
      <c r="M180" t="s">
        <v>357</v>
      </c>
    </row>
    <row r="181" spans="1:13" x14ac:dyDescent="0.25">
      <c r="A181" t="s">
        <v>13</v>
      </c>
      <c r="B181" t="s">
        <v>32</v>
      </c>
      <c r="C181">
        <v>51</v>
      </c>
      <c r="D181" t="s">
        <v>351</v>
      </c>
      <c r="E181" t="str">
        <f>VLOOKUP(D:D,Hoja2!A:B,2,FALSE)</f>
        <v>ARTEPESCA SA</v>
      </c>
      <c r="F181" t="s">
        <v>29</v>
      </c>
      <c r="G181" t="s">
        <v>18</v>
      </c>
      <c r="H181" t="s">
        <v>351</v>
      </c>
      <c r="I181" t="s">
        <v>356</v>
      </c>
      <c r="J181" s="1">
        <v>-116212.32</v>
      </c>
      <c r="K181" s="1">
        <v>0</v>
      </c>
      <c r="L181" t="s">
        <v>24</v>
      </c>
      <c r="M181" t="s">
        <v>358</v>
      </c>
    </row>
    <row r="182" spans="1:13" x14ac:dyDescent="0.25">
      <c r="A182" t="s">
        <v>13</v>
      </c>
      <c r="B182" t="s">
        <v>26</v>
      </c>
      <c r="C182">
        <v>1362</v>
      </c>
      <c r="D182" t="s">
        <v>351</v>
      </c>
      <c r="E182" t="str">
        <f>VLOOKUP(D:D,Hoja2!A:B,2,FALSE)</f>
        <v>ARTEPESCA SA</v>
      </c>
      <c r="F182" t="s">
        <v>29</v>
      </c>
      <c r="G182" t="s">
        <v>18</v>
      </c>
      <c r="H182" t="s">
        <v>351</v>
      </c>
      <c r="I182" t="s">
        <v>359</v>
      </c>
      <c r="J182" s="1">
        <v>190417.5</v>
      </c>
      <c r="K182" s="1">
        <v>190417.5</v>
      </c>
      <c r="L182" t="s">
        <v>24</v>
      </c>
      <c r="M182" t="s">
        <v>360</v>
      </c>
    </row>
    <row r="183" spans="1:13" x14ac:dyDescent="0.25">
      <c r="A183" t="s">
        <v>13</v>
      </c>
      <c r="B183" t="s">
        <v>26</v>
      </c>
      <c r="C183">
        <v>1371</v>
      </c>
      <c r="D183" t="s">
        <v>351</v>
      </c>
      <c r="E183" t="str">
        <f>VLOOKUP(D:D,Hoja2!A:B,2,FALSE)</f>
        <v>ARTEPESCA SA</v>
      </c>
      <c r="F183" t="s">
        <v>29</v>
      </c>
      <c r="G183" t="s">
        <v>18</v>
      </c>
      <c r="H183" t="s">
        <v>351</v>
      </c>
      <c r="I183" t="s">
        <v>361</v>
      </c>
      <c r="J183" s="1">
        <v>249984</v>
      </c>
      <c r="K183" s="1">
        <v>440401.5</v>
      </c>
      <c r="L183" t="s">
        <v>24</v>
      </c>
      <c r="M183" t="s">
        <v>362</v>
      </c>
    </row>
    <row r="184" spans="1:13" x14ac:dyDescent="0.25">
      <c r="A184" t="s">
        <v>13</v>
      </c>
      <c r="B184" t="s">
        <v>32</v>
      </c>
      <c r="C184">
        <v>64</v>
      </c>
      <c r="D184" t="s">
        <v>351</v>
      </c>
      <c r="E184" t="str">
        <f>VLOOKUP(D:D,Hoja2!A:B,2,FALSE)</f>
        <v>ARTEPESCA SA</v>
      </c>
      <c r="F184" t="s">
        <v>29</v>
      </c>
      <c r="G184" t="s">
        <v>18</v>
      </c>
      <c r="H184" t="s">
        <v>351</v>
      </c>
      <c r="I184" t="s">
        <v>363</v>
      </c>
      <c r="J184" s="1">
        <v>-249984</v>
      </c>
      <c r="K184" s="1">
        <v>190417.5</v>
      </c>
      <c r="L184" t="s">
        <v>24</v>
      </c>
      <c r="M184" t="s">
        <v>364</v>
      </c>
    </row>
    <row r="185" spans="1:13" x14ac:dyDescent="0.25">
      <c r="A185" t="s">
        <v>13</v>
      </c>
      <c r="B185" t="s">
        <v>32</v>
      </c>
      <c r="C185">
        <v>65</v>
      </c>
      <c r="D185" t="s">
        <v>351</v>
      </c>
      <c r="E185" t="str">
        <f>VLOOKUP(D:D,Hoja2!A:B,2,FALSE)</f>
        <v>ARTEPESCA SA</v>
      </c>
      <c r="F185" t="s">
        <v>29</v>
      </c>
      <c r="G185" t="s">
        <v>18</v>
      </c>
      <c r="H185" t="s">
        <v>351</v>
      </c>
      <c r="I185" t="s">
        <v>363</v>
      </c>
      <c r="J185" s="1">
        <v>-190417.5</v>
      </c>
      <c r="K185" s="1">
        <v>0</v>
      </c>
      <c r="L185" t="s">
        <v>24</v>
      </c>
      <c r="M185" t="s">
        <v>365</v>
      </c>
    </row>
    <row r="186" spans="1:13" x14ac:dyDescent="0.25">
      <c r="A186" t="s">
        <v>13</v>
      </c>
      <c r="B186" t="s">
        <v>26</v>
      </c>
      <c r="C186">
        <v>1712</v>
      </c>
      <c r="D186" t="s">
        <v>351</v>
      </c>
      <c r="E186" t="str">
        <f>VLOOKUP(D:D,Hoja2!A:B,2,FALSE)</f>
        <v>ARTEPESCA SA</v>
      </c>
      <c r="F186" t="s">
        <v>29</v>
      </c>
      <c r="G186" t="s">
        <v>18</v>
      </c>
      <c r="H186" t="s">
        <v>351</v>
      </c>
      <c r="I186" t="s">
        <v>366</v>
      </c>
      <c r="J186" s="1">
        <v>211995.5</v>
      </c>
      <c r="K186" s="1">
        <v>211995.5</v>
      </c>
      <c r="L186" t="s">
        <v>24</v>
      </c>
      <c r="M186" t="s">
        <v>367</v>
      </c>
    </row>
    <row r="187" spans="1:13" x14ac:dyDescent="0.25">
      <c r="A187" t="s">
        <v>13</v>
      </c>
      <c r="B187" t="s">
        <v>32</v>
      </c>
      <c r="C187">
        <v>75</v>
      </c>
      <c r="D187" t="s">
        <v>351</v>
      </c>
      <c r="E187" t="str">
        <f>VLOOKUP(D:D,Hoja2!A:B,2,FALSE)</f>
        <v>ARTEPESCA SA</v>
      </c>
      <c r="F187" t="s">
        <v>29</v>
      </c>
      <c r="G187" t="s">
        <v>18</v>
      </c>
      <c r="H187" t="s">
        <v>351</v>
      </c>
      <c r="I187" t="s">
        <v>366</v>
      </c>
      <c r="J187" s="1">
        <v>-211995.5</v>
      </c>
      <c r="K187" s="1">
        <v>0</v>
      </c>
      <c r="L187" t="s">
        <v>24</v>
      </c>
      <c r="M187" t="s">
        <v>368</v>
      </c>
    </row>
    <row r="188" spans="1:13" x14ac:dyDescent="0.25">
      <c r="A188" t="s">
        <v>13</v>
      </c>
      <c r="B188" t="s">
        <v>14</v>
      </c>
      <c r="C188">
        <v>9625</v>
      </c>
      <c r="D188" t="s">
        <v>369</v>
      </c>
      <c r="E188" t="str">
        <f>VLOOKUP(D:D,Hoja2!A:B,2,FALSE)</f>
        <v>PESQUERA SAN CAYETANO S.A.</v>
      </c>
      <c r="F188" t="s">
        <v>29</v>
      </c>
      <c r="G188" t="s">
        <v>18</v>
      </c>
      <c r="H188" t="s">
        <v>369</v>
      </c>
      <c r="I188" t="s">
        <v>371</v>
      </c>
      <c r="J188" s="1">
        <v>-328532.25</v>
      </c>
      <c r="K188" s="1">
        <v>-328532.25</v>
      </c>
      <c r="L188" t="s">
        <v>20</v>
      </c>
      <c r="M188" t="s">
        <v>372</v>
      </c>
    </row>
    <row r="189" spans="1:13" x14ac:dyDescent="0.25">
      <c r="A189" t="s">
        <v>13</v>
      </c>
      <c r="B189" t="s">
        <v>26</v>
      </c>
      <c r="C189">
        <v>7306</v>
      </c>
      <c r="D189" t="s">
        <v>369</v>
      </c>
      <c r="E189" t="str">
        <f>VLOOKUP(D:D,Hoja2!A:B,2,FALSE)</f>
        <v>PESQUERA SAN CAYETANO S.A.</v>
      </c>
      <c r="F189" t="s">
        <v>29</v>
      </c>
      <c r="G189" t="s">
        <v>18</v>
      </c>
      <c r="H189" t="s">
        <v>369</v>
      </c>
      <c r="I189" t="s">
        <v>371</v>
      </c>
      <c r="J189" s="1">
        <v>220837.8</v>
      </c>
      <c r="K189" s="1">
        <v>-107694.45</v>
      </c>
      <c r="L189" t="s">
        <v>24</v>
      </c>
      <c r="M189" t="s">
        <v>373</v>
      </c>
    </row>
    <row r="190" spans="1:13" x14ac:dyDescent="0.25">
      <c r="A190" t="s">
        <v>13</v>
      </c>
      <c r="B190" t="s">
        <v>26</v>
      </c>
      <c r="C190">
        <v>1881</v>
      </c>
      <c r="D190" t="s">
        <v>374</v>
      </c>
      <c r="E190" t="str">
        <f>VLOOKUP(D:D,Hoja2!A:B,2,FALSE)</f>
        <v>CESTARI MARIA ROSANA</v>
      </c>
      <c r="F190" t="s">
        <v>48</v>
      </c>
      <c r="G190" t="s">
        <v>18</v>
      </c>
      <c r="H190" t="s">
        <v>374</v>
      </c>
      <c r="I190" t="s">
        <v>376</v>
      </c>
      <c r="J190" s="1">
        <v>1000003.1</v>
      </c>
      <c r="K190" s="1">
        <v>1000003.1</v>
      </c>
      <c r="L190" t="s">
        <v>24</v>
      </c>
      <c r="M190" t="s">
        <v>377</v>
      </c>
    </row>
    <row r="191" spans="1:13" x14ac:dyDescent="0.25">
      <c r="A191" t="s">
        <v>13</v>
      </c>
      <c r="B191" t="s">
        <v>32</v>
      </c>
      <c r="C191">
        <v>90</v>
      </c>
      <c r="D191" t="s">
        <v>374</v>
      </c>
      <c r="E191" t="str">
        <f>VLOOKUP(D:D,Hoja2!A:B,2,FALSE)</f>
        <v>CESTARI MARIA ROSANA</v>
      </c>
      <c r="F191" t="s">
        <v>48</v>
      </c>
      <c r="G191" t="s">
        <v>18</v>
      </c>
      <c r="H191" t="s">
        <v>374</v>
      </c>
      <c r="I191" t="s">
        <v>378</v>
      </c>
      <c r="J191" s="1">
        <v>-1000003.1</v>
      </c>
      <c r="K191" s="1">
        <v>0</v>
      </c>
      <c r="L191" t="s">
        <v>24</v>
      </c>
      <c r="M191" t="s">
        <v>379</v>
      </c>
    </row>
    <row r="192" spans="1:13" x14ac:dyDescent="0.25">
      <c r="A192" t="s">
        <v>13</v>
      </c>
      <c r="B192" t="s">
        <v>32</v>
      </c>
      <c r="C192">
        <v>77</v>
      </c>
      <c r="D192" t="s">
        <v>380</v>
      </c>
      <c r="E192" t="str">
        <f>VLOOKUP(D:D,Hoja2!A:B,2,FALSE)</f>
        <v>MARONTI S. A.</v>
      </c>
      <c r="F192" t="s">
        <v>29</v>
      </c>
      <c r="G192" t="s">
        <v>18</v>
      </c>
      <c r="H192" t="s">
        <v>380</v>
      </c>
      <c r="I192" t="s">
        <v>382</v>
      </c>
      <c r="J192" s="1">
        <v>-18900</v>
      </c>
      <c r="K192" s="1">
        <v>-18900</v>
      </c>
      <c r="L192" t="s">
        <v>24</v>
      </c>
      <c r="M192" t="s">
        <v>383</v>
      </c>
    </row>
    <row r="193" spans="1:13" x14ac:dyDescent="0.25">
      <c r="A193" t="s">
        <v>13</v>
      </c>
      <c r="B193" t="s">
        <v>57</v>
      </c>
      <c r="C193">
        <v>49</v>
      </c>
      <c r="D193" t="s">
        <v>380</v>
      </c>
      <c r="E193" t="str">
        <f>VLOOKUP(D:D,Hoja2!A:B,2,FALSE)</f>
        <v>MARONTI S. A.</v>
      </c>
      <c r="F193" t="s">
        <v>29</v>
      </c>
      <c r="G193" t="s">
        <v>18</v>
      </c>
      <c r="H193" t="s">
        <v>380</v>
      </c>
      <c r="I193" t="s">
        <v>384</v>
      </c>
      <c r="J193" s="1">
        <v>18900</v>
      </c>
      <c r="K193" s="1">
        <v>0</v>
      </c>
      <c r="L193" t="s">
        <v>24</v>
      </c>
      <c r="M193" t="s">
        <v>385</v>
      </c>
    </row>
    <row r="194" spans="1:13" x14ac:dyDescent="0.25">
      <c r="A194" t="s">
        <v>13</v>
      </c>
      <c r="B194" t="s">
        <v>26</v>
      </c>
      <c r="C194">
        <v>4994</v>
      </c>
      <c r="D194" t="s">
        <v>380</v>
      </c>
      <c r="E194" t="str">
        <f>VLOOKUP(D:D,Hoja2!A:B,2,FALSE)</f>
        <v>MARONTI S. A.</v>
      </c>
      <c r="F194" t="s">
        <v>29</v>
      </c>
      <c r="G194" t="s">
        <v>18</v>
      </c>
      <c r="H194" t="s">
        <v>380</v>
      </c>
      <c r="I194" t="s">
        <v>386</v>
      </c>
      <c r="J194" s="1">
        <v>33213456.25</v>
      </c>
      <c r="K194" s="1">
        <v>33213456.25</v>
      </c>
      <c r="L194" t="s">
        <v>24</v>
      </c>
      <c r="M194" t="s">
        <v>387</v>
      </c>
    </row>
    <row r="195" spans="1:13" x14ac:dyDescent="0.25">
      <c r="A195" t="s">
        <v>13</v>
      </c>
      <c r="B195" t="s">
        <v>32</v>
      </c>
      <c r="C195">
        <v>216</v>
      </c>
      <c r="D195" t="s">
        <v>380</v>
      </c>
      <c r="E195" t="str">
        <f>VLOOKUP(D:D,Hoja2!A:B,2,FALSE)</f>
        <v>MARONTI S. A.</v>
      </c>
      <c r="F195" t="s">
        <v>29</v>
      </c>
      <c r="G195" t="s">
        <v>18</v>
      </c>
      <c r="H195" t="s">
        <v>380</v>
      </c>
      <c r="I195" t="s">
        <v>388</v>
      </c>
      <c r="J195" s="1">
        <v>-33213456.25</v>
      </c>
      <c r="K195" s="1">
        <v>0</v>
      </c>
      <c r="L195" t="s">
        <v>24</v>
      </c>
      <c r="M195" t="s">
        <v>389</v>
      </c>
    </row>
    <row r="196" spans="1:13" x14ac:dyDescent="0.25">
      <c r="A196" t="s">
        <v>13</v>
      </c>
      <c r="B196" t="s">
        <v>26</v>
      </c>
      <c r="C196">
        <v>7162</v>
      </c>
      <c r="D196" t="s">
        <v>390</v>
      </c>
      <c r="E196" t="str">
        <f>VLOOKUP(D:D,Hoja2!A:B,2,FALSE)</f>
        <v>LUMELL SA</v>
      </c>
      <c r="F196" t="s">
        <v>29</v>
      </c>
      <c r="G196" t="s">
        <v>18</v>
      </c>
      <c r="H196" t="s">
        <v>390</v>
      </c>
      <c r="I196" t="s">
        <v>252</v>
      </c>
      <c r="J196" s="1">
        <v>10044000</v>
      </c>
      <c r="K196" s="1">
        <v>10044000</v>
      </c>
      <c r="L196" t="s">
        <v>24</v>
      </c>
      <c r="M196" t="s">
        <v>392</v>
      </c>
    </row>
    <row r="197" spans="1:13" x14ac:dyDescent="0.25">
      <c r="A197" t="s">
        <v>13</v>
      </c>
      <c r="B197" t="s">
        <v>26</v>
      </c>
      <c r="C197">
        <v>7185</v>
      </c>
      <c r="D197" t="s">
        <v>390</v>
      </c>
      <c r="E197" t="str">
        <f>VLOOKUP(D:D,Hoja2!A:B,2,FALSE)</f>
        <v>LUMELL SA</v>
      </c>
      <c r="F197" t="s">
        <v>29</v>
      </c>
      <c r="G197" t="s">
        <v>18</v>
      </c>
      <c r="H197" t="s">
        <v>390</v>
      </c>
      <c r="I197" t="s">
        <v>254</v>
      </c>
      <c r="J197" s="1">
        <v>9486000</v>
      </c>
      <c r="K197" s="1">
        <v>19530000</v>
      </c>
      <c r="L197" t="s">
        <v>24</v>
      </c>
      <c r="M197" t="s">
        <v>393</v>
      </c>
    </row>
    <row r="198" spans="1:13" x14ac:dyDescent="0.25">
      <c r="A198" t="s">
        <v>13</v>
      </c>
      <c r="B198" t="s">
        <v>26</v>
      </c>
      <c r="C198">
        <v>7200</v>
      </c>
      <c r="D198" t="s">
        <v>390</v>
      </c>
      <c r="E198" t="str">
        <f>VLOOKUP(D:D,Hoja2!A:B,2,FALSE)</f>
        <v>LUMELL SA</v>
      </c>
      <c r="F198" t="s">
        <v>29</v>
      </c>
      <c r="G198" t="s">
        <v>18</v>
      </c>
      <c r="H198" t="s">
        <v>390</v>
      </c>
      <c r="I198" t="s">
        <v>256</v>
      </c>
      <c r="J198" s="1">
        <v>9207000</v>
      </c>
      <c r="K198" s="1">
        <v>28737000</v>
      </c>
      <c r="L198" t="s">
        <v>24</v>
      </c>
      <c r="M198" t="s">
        <v>394</v>
      </c>
    </row>
    <row r="199" spans="1:13" x14ac:dyDescent="0.25">
      <c r="A199" t="s">
        <v>13</v>
      </c>
      <c r="B199" t="s">
        <v>26</v>
      </c>
      <c r="C199">
        <v>7222</v>
      </c>
      <c r="D199" t="s">
        <v>390</v>
      </c>
      <c r="E199" t="str">
        <f>VLOOKUP(D:D,Hoja2!A:B,2,FALSE)</f>
        <v>LUMELL SA</v>
      </c>
      <c r="F199" t="s">
        <v>29</v>
      </c>
      <c r="G199" t="s">
        <v>18</v>
      </c>
      <c r="H199" t="s">
        <v>390</v>
      </c>
      <c r="I199" t="s">
        <v>36</v>
      </c>
      <c r="J199" s="1">
        <v>10183500</v>
      </c>
      <c r="K199" s="1">
        <v>38920500</v>
      </c>
      <c r="L199" t="s">
        <v>24</v>
      </c>
      <c r="M199" t="s">
        <v>395</v>
      </c>
    </row>
    <row r="200" spans="1:13" x14ac:dyDescent="0.25">
      <c r="A200" t="s">
        <v>13</v>
      </c>
      <c r="B200" t="s">
        <v>26</v>
      </c>
      <c r="C200">
        <v>7238</v>
      </c>
      <c r="D200" t="s">
        <v>390</v>
      </c>
      <c r="E200" t="str">
        <f>VLOOKUP(D:D,Hoja2!A:B,2,FALSE)</f>
        <v>LUMELL SA</v>
      </c>
      <c r="F200" t="s">
        <v>29</v>
      </c>
      <c r="G200" t="s">
        <v>18</v>
      </c>
      <c r="H200" t="s">
        <v>390</v>
      </c>
      <c r="I200" t="s">
        <v>38</v>
      </c>
      <c r="J200" s="1">
        <v>7254000</v>
      </c>
      <c r="K200" s="1">
        <v>46174500</v>
      </c>
      <c r="L200" t="s">
        <v>24</v>
      </c>
      <c r="M200" t="s">
        <v>396</v>
      </c>
    </row>
    <row r="201" spans="1:13" x14ac:dyDescent="0.25">
      <c r="A201" t="s">
        <v>13</v>
      </c>
      <c r="B201" t="s">
        <v>26</v>
      </c>
      <c r="C201">
        <v>7255</v>
      </c>
      <c r="D201" t="s">
        <v>390</v>
      </c>
      <c r="E201" t="str">
        <f>VLOOKUP(D:D,Hoja2!A:B,2,FALSE)</f>
        <v>LUMELL SA</v>
      </c>
      <c r="F201" t="s">
        <v>29</v>
      </c>
      <c r="G201" t="s">
        <v>18</v>
      </c>
      <c r="H201" t="s">
        <v>390</v>
      </c>
      <c r="I201" t="s">
        <v>40</v>
      </c>
      <c r="J201" s="1">
        <v>6019380</v>
      </c>
      <c r="K201" s="1">
        <v>52193880</v>
      </c>
      <c r="L201" t="s">
        <v>24</v>
      </c>
      <c r="M201" t="s">
        <v>397</v>
      </c>
    </row>
    <row r="202" spans="1:13" x14ac:dyDescent="0.25">
      <c r="A202" t="s">
        <v>13</v>
      </c>
      <c r="B202" t="s">
        <v>26</v>
      </c>
      <c r="C202">
        <v>7282</v>
      </c>
      <c r="D202" t="s">
        <v>390</v>
      </c>
      <c r="E202" t="str">
        <f>VLOOKUP(D:D,Hoja2!A:B,2,FALSE)</f>
        <v>LUMELL SA</v>
      </c>
      <c r="F202" t="s">
        <v>29</v>
      </c>
      <c r="G202" t="s">
        <v>18</v>
      </c>
      <c r="H202" t="s">
        <v>390</v>
      </c>
      <c r="I202" t="s">
        <v>42</v>
      </c>
      <c r="J202" s="1">
        <v>8364960</v>
      </c>
      <c r="K202" s="1">
        <v>60558840</v>
      </c>
      <c r="L202" t="s">
        <v>24</v>
      </c>
      <c r="M202" t="s">
        <v>398</v>
      </c>
    </row>
    <row r="203" spans="1:13" x14ac:dyDescent="0.25">
      <c r="A203" t="s">
        <v>13</v>
      </c>
      <c r="B203" t="s">
        <v>26</v>
      </c>
      <c r="C203">
        <v>7300</v>
      </c>
      <c r="D203" t="s">
        <v>390</v>
      </c>
      <c r="E203" t="str">
        <f>VLOOKUP(D:D,Hoja2!A:B,2,FALSE)</f>
        <v>LUMELL SA</v>
      </c>
      <c r="F203" t="s">
        <v>29</v>
      </c>
      <c r="G203" t="s">
        <v>18</v>
      </c>
      <c r="H203" t="s">
        <v>390</v>
      </c>
      <c r="I203" t="s">
        <v>44</v>
      </c>
      <c r="J203" s="1">
        <v>7686720</v>
      </c>
      <c r="K203" s="1">
        <v>68245560</v>
      </c>
      <c r="L203" t="s">
        <v>24</v>
      </c>
      <c r="M203" t="s">
        <v>399</v>
      </c>
    </row>
    <row r="204" spans="1:13" x14ac:dyDescent="0.25">
      <c r="A204" t="s">
        <v>13</v>
      </c>
      <c r="B204" t="s">
        <v>26</v>
      </c>
      <c r="C204">
        <v>7309</v>
      </c>
      <c r="D204" t="s">
        <v>390</v>
      </c>
      <c r="E204" t="str">
        <f>VLOOKUP(D:D,Hoja2!A:B,2,FALSE)</f>
        <v>LUMELL SA</v>
      </c>
      <c r="F204" t="s">
        <v>29</v>
      </c>
      <c r="G204" t="s">
        <v>18</v>
      </c>
      <c r="H204" t="s">
        <v>390</v>
      </c>
      <c r="I204" t="s">
        <v>133</v>
      </c>
      <c r="J204" s="1">
        <v>12547440</v>
      </c>
      <c r="K204" s="1">
        <v>80793000</v>
      </c>
      <c r="L204" t="s">
        <v>24</v>
      </c>
      <c r="M204" t="s">
        <v>400</v>
      </c>
    </row>
    <row r="205" spans="1:13" x14ac:dyDescent="0.25">
      <c r="A205" t="s">
        <v>13</v>
      </c>
      <c r="B205" t="s">
        <v>26</v>
      </c>
      <c r="C205">
        <v>1977</v>
      </c>
      <c r="D205" t="s">
        <v>401</v>
      </c>
      <c r="E205" t="str">
        <f>VLOOKUP(D:D,Hoja2!A:B,2,FALSE)</f>
        <v>SIMONE AUTOMOTORES SA</v>
      </c>
      <c r="F205" t="s">
        <v>17</v>
      </c>
      <c r="G205" t="s">
        <v>18</v>
      </c>
      <c r="H205" t="s">
        <v>401</v>
      </c>
      <c r="I205" t="s">
        <v>403</v>
      </c>
      <c r="J205" s="1">
        <v>1250000.6499999999</v>
      </c>
      <c r="K205" s="1">
        <v>1250000.6499999999</v>
      </c>
      <c r="L205" t="s">
        <v>24</v>
      </c>
      <c r="M205" t="s">
        <v>404</v>
      </c>
    </row>
    <row r="206" spans="1:13" x14ac:dyDescent="0.25">
      <c r="A206" t="s">
        <v>13</v>
      </c>
      <c r="B206" t="s">
        <v>32</v>
      </c>
      <c r="C206">
        <v>95</v>
      </c>
      <c r="D206" t="s">
        <v>401</v>
      </c>
      <c r="E206" t="str">
        <f>VLOOKUP(D:D,Hoja2!A:B,2,FALSE)</f>
        <v>SIMONE AUTOMOTORES SA</v>
      </c>
      <c r="F206" t="s">
        <v>17</v>
      </c>
      <c r="G206" t="s">
        <v>18</v>
      </c>
      <c r="H206" t="s">
        <v>401</v>
      </c>
      <c r="I206" t="s">
        <v>405</v>
      </c>
      <c r="J206" s="1">
        <v>-1250000.6499999999</v>
      </c>
      <c r="K206" s="1">
        <v>0</v>
      </c>
      <c r="L206" t="s">
        <v>24</v>
      </c>
      <c r="M206" t="s">
        <v>406</v>
      </c>
    </row>
    <row r="207" spans="1:13" x14ac:dyDescent="0.25">
      <c r="A207" t="s">
        <v>13</v>
      </c>
      <c r="B207" t="s">
        <v>407</v>
      </c>
      <c r="C207">
        <v>3</v>
      </c>
      <c r="D207" t="s">
        <v>408</v>
      </c>
      <c r="E207" t="str">
        <f>VLOOKUP(D:D,Hoja2!A:B,2,FALSE)</f>
        <v>PEUGEOT CITROEN ARGENTINA SA</v>
      </c>
      <c r="F207" t="s">
        <v>17</v>
      </c>
      <c r="G207" t="s">
        <v>18</v>
      </c>
      <c r="H207" t="s">
        <v>408</v>
      </c>
      <c r="I207" t="s">
        <v>410</v>
      </c>
      <c r="J207" s="1">
        <v>1000000</v>
      </c>
      <c r="K207" s="1">
        <v>1000000</v>
      </c>
      <c r="L207" t="s">
        <v>411</v>
      </c>
      <c r="M207" t="s">
        <v>412</v>
      </c>
    </row>
    <row r="208" spans="1:13" x14ac:dyDescent="0.25">
      <c r="A208" t="s">
        <v>13</v>
      </c>
      <c r="B208" t="s">
        <v>413</v>
      </c>
      <c r="C208">
        <v>2</v>
      </c>
      <c r="D208" t="s">
        <v>408</v>
      </c>
      <c r="E208" t="str">
        <f>VLOOKUP(D:D,Hoja2!A:B,2,FALSE)</f>
        <v>PEUGEOT CITROEN ARGENTINA SA</v>
      </c>
      <c r="F208" t="s">
        <v>17</v>
      </c>
      <c r="G208" t="s">
        <v>18</v>
      </c>
      <c r="H208" t="s">
        <v>408</v>
      </c>
      <c r="I208" t="s">
        <v>414</v>
      </c>
      <c r="J208" s="1">
        <v>-1000000</v>
      </c>
      <c r="K208" s="1">
        <v>0</v>
      </c>
      <c r="L208" t="s">
        <v>411</v>
      </c>
      <c r="M208" t="s">
        <v>415</v>
      </c>
    </row>
    <row r="209" spans="1:13" x14ac:dyDescent="0.25">
      <c r="A209" t="s">
        <v>13</v>
      </c>
      <c r="B209" t="s">
        <v>32</v>
      </c>
      <c r="C209">
        <v>98</v>
      </c>
      <c r="D209" t="s">
        <v>416</v>
      </c>
      <c r="E209" t="str">
        <f>VLOOKUP(D:D,Hoja2!A:B,2,FALSE)</f>
        <v>FYR SA</v>
      </c>
      <c r="F209" t="s">
        <v>48</v>
      </c>
      <c r="G209" t="s">
        <v>18</v>
      </c>
      <c r="H209" t="s">
        <v>416</v>
      </c>
      <c r="I209" t="s">
        <v>418</v>
      </c>
      <c r="J209" s="1">
        <v>-0.01</v>
      </c>
      <c r="K209" s="1">
        <v>-0.01</v>
      </c>
      <c r="L209" t="s">
        <v>24</v>
      </c>
      <c r="M209" t="s">
        <v>419</v>
      </c>
    </row>
    <row r="210" spans="1:13" x14ac:dyDescent="0.25">
      <c r="A210" t="s">
        <v>13</v>
      </c>
      <c r="B210" t="s">
        <v>60</v>
      </c>
      <c r="C210">
        <v>31</v>
      </c>
      <c r="D210" t="s">
        <v>416</v>
      </c>
      <c r="E210" t="str">
        <f>VLOOKUP(D:D,Hoja2!A:B,2,FALSE)</f>
        <v>FYR SA</v>
      </c>
      <c r="F210" t="s">
        <v>48</v>
      </c>
      <c r="G210" t="s">
        <v>61</v>
      </c>
      <c r="H210" t="s">
        <v>416</v>
      </c>
      <c r="I210" t="s">
        <v>62</v>
      </c>
      <c r="J210" s="1">
        <v>0.01</v>
      </c>
      <c r="K210" s="1">
        <v>0</v>
      </c>
      <c r="L210" t="s">
        <v>63</v>
      </c>
      <c r="M210" t="s">
        <v>420</v>
      </c>
    </row>
    <row r="211" spans="1:13" x14ac:dyDescent="0.25">
      <c r="A211" t="s">
        <v>13</v>
      </c>
      <c r="B211" t="s">
        <v>26</v>
      </c>
      <c r="C211">
        <v>2709</v>
      </c>
      <c r="D211" t="s">
        <v>421</v>
      </c>
      <c r="E211" t="str">
        <f>VLOOKUP(D:D,Hoja2!A:B,2,FALSE)</f>
        <v>PUERTO RAWSON PATAGONIA SA</v>
      </c>
      <c r="F211" t="s">
        <v>48</v>
      </c>
      <c r="G211" t="s">
        <v>18</v>
      </c>
      <c r="H211" t="s">
        <v>421</v>
      </c>
      <c r="I211" t="s">
        <v>423</v>
      </c>
      <c r="J211" s="1">
        <v>12859.78</v>
      </c>
      <c r="K211" s="1">
        <v>12859.78</v>
      </c>
      <c r="L211" t="s">
        <v>24</v>
      </c>
      <c r="M211" t="s">
        <v>424</v>
      </c>
    </row>
    <row r="212" spans="1:13" x14ac:dyDescent="0.25">
      <c r="A212" t="s">
        <v>13</v>
      </c>
      <c r="B212" t="s">
        <v>32</v>
      </c>
      <c r="C212">
        <v>131</v>
      </c>
      <c r="D212" t="s">
        <v>421</v>
      </c>
      <c r="E212" t="str">
        <f>VLOOKUP(D:D,Hoja2!A:B,2,FALSE)</f>
        <v>PUERTO RAWSON PATAGONIA SA</v>
      </c>
      <c r="F212" t="s">
        <v>48</v>
      </c>
      <c r="G212" t="s">
        <v>18</v>
      </c>
      <c r="H212" t="s">
        <v>421</v>
      </c>
      <c r="I212" t="s">
        <v>423</v>
      </c>
      <c r="J212" s="1">
        <v>-12859.78</v>
      </c>
      <c r="K212" s="1">
        <v>0</v>
      </c>
      <c r="L212" t="s">
        <v>24</v>
      </c>
      <c r="M212" t="s">
        <v>425</v>
      </c>
    </row>
    <row r="213" spans="1:13" x14ac:dyDescent="0.25">
      <c r="A213" t="s">
        <v>13</v>
      </c>
      <c r="B213" t="s">
        <v>26</v>
      </c>
      <c r="C213">
        <v>2732</v>
      </c>
      <c r="D213" t="s">
        <v>421</v>
      </c>
      <c r="E213" t="str">
        <f>VLOOKUP(D:D,Hoja2!A:B,2,FALSE)</f>
        <v>PUERTO RAWSON PATAGONIA SA</v>
      </c>
      <c r="F213" t="s">
        <v>48</v>
      </c>
      <c r="G213" t="s">
        <v>18</v>
      </c>
      <c r="H213" t="s">
        <v>421</v>
      </c>
      <c r="I213" t="s">
        <v>426</v>
      </c>
      <c r="J213" s="1">
        <v>43521.45</v>
      </c>
      <c r="K213" s="1">
        <v>43521.45</v>
      </c>
      <c r="L213" t="s">
        <v>24</v>
      </c>
      <c r="M213" t="s">
        <v>427</v>
      </c>
    </row>
    <row r="214" spans="1:13" x14ac:dyDescent="0.25">
      <c r="A214" t="s">
        <v>13</v>
      </c>
      <c r="B214" t="s">
        <v>32</v>
      </c>
      <c r="C214">
        <v>138</v>
      </c>
      <c r="D214" t="s">
        <v>421</v>
      </c>
      <c r="E214" t="str">
        <f>VLOOKUP(D:D,Hoja2!A:B,2,FALSE)</f>
        <v>PUERTO RAWSON PATAGONIA SA</v>
      </c>
      <c r="F214" t="s">
        <v>48</v>
      </c>
      <c r="G214" t="s">
        <v>18</v>
      </c>
      <c r="H214" t="s">
        <v>421</v>
      </c>
      <c r="I214" t="s">
        <v>428</v>
      </c>
      <c r="J214" s="1">
        <v>-43521.45</v>
      </c>
      <c r="K214" s="1">
        <v>0</v>
      </c>
      <c r="L214" t="s">
        <v>24</v>
      </c>
      <c r="M214" t="s">
        <v>429</v>
      </c>
    </row>
    <row r="215" spans="1:13" x14ac:dyDescent="0.25">
      <c r="A215" t="s">
        <v>13</v>
      </c>
      <c r="B215" t="s">
        <v>407</v>
      </c>
      <c r="C215">
        <v>47</v>
      </c>
      <c r="D215" t="s">
        <v>430</v>
      </c>
      <c r="E215" t="str">
        <f>VLOOKUP(D:D,Hoja2!A:B,2,FALSE)</f>
        <v>IBERCONSA DE ARGENTINA S A</v>
      </c>
      <c r="F215" t="s">
        <v>48</v>
      </c>
      <c r="G215" t="s">
        <v>18</v>
      </c>
      <c r="H215" t="s">
        <v>430</v>
      </c>
      <c r="I215" t="s">
        <v>432</v>
      </c>
      <c r="J215" s="1">
        <v>1391083.6</v>
      </c>
      <c r="K215" s="1">
        <v>1391083.6</v>
      </c>
      <c r="L215" t="s">
        <v>411</v>
      </c>
      <c r="M215" t="s">
        <v>433</v>
      </c>
    </row>
    <row r="216" spans="1:13" x14ac:dyDescent="0.25">
      <c r="A216" t="s">
        <v>13</v>
      </c>
      <c r="B216" t="s">
        <v>413</v>
      </c>
      <c r="C216">
        <v>3</v>
      </c>
      <c r="D216" t="s">
        <v>430</v>
      </c>
      <c r="E216" t="str">
        <f>VLOOKUP(D:D,Hoja2!A:B,2,FALSE)</f>
        <v>IBERCONSA DE ARGENTINA S A</v>
      </c>
      <c r="F216" t="s">
        <v>48</v>
      </c>
      <c r="G216" t="s">
        <v>18</v>
      </c>
      <c r="H216" t="s">
        <v>430</v>
      </c>
      <c r="I216" t="s">
        <v>432</v>
      </c>
      <c r="J216" s="1">
        <v>-1391083.6</v>
      </c>
      <c r="K216" s="1">
        <v>0</v>
      </c>
      <c r="L216" t="s">
        <v>411</v>
      </c>
      <c r="M216" t="s">
        <v>412</v>
      </c>
    </row>
    <row r="217" spans="1:13" x14ac:dyDescent="0.25">
      <c r="A217" t="s">
        <v>13</v>
      </c>
      <c r="B217" t="s">
        <v>407</v>
      </c>
      <c r="C217">
        <v>57</v>
      </c>
      <c r="D217" t="s">
        <v>430</v>
      </c>
      <c r="E217" t="str">
        <f>VLOOKUP(D:D,Hoja2!A:B,2,FALSE)</f>
        <v>IBERCONSA DE ARGENTINA S A</v>
      </c>
      <c r="F217" t="s">
        <v>48</v>
      </c>
      <c r="G217" t="s">
        <v>18</v>
      </c>
      <c r="H217" t="s">
        <v>430</v>
      </c>
      <c r="I217" t="s">
        <v>434</v>
      </c>
      <c r="J217" s="1">
        <v>13634682.68</v>
      </c>
      <c r="K217" s="1">
        <v>13634682.68</v>
      </c>
      <c r="L217" t="s">
        <v>411</v>
      </c>
      <c r="M217" t="s">
        <v>435</v>
      </c>
    </row>
    <row r="218" spans="1:13" x14ac:dyDescent="0.25">
      <c r="A218" t="s">
        <v>13</v>
      </c>
      <c r="B218" t="s">
        <v>413</v>
      </c>
      <c r="C218">
        <v>4</v>
      </c>
      <c r="D218" t="s">
        <v>430</v>
      </c>
      <c r="E218" t="str">
        <f>VLOOKUP(D:D,Hoja2!A:B,2,FALSE)</f>
        <v>IBERCONSA DE ARGENTINA S A</v>
      </c>
      <c r="F218" t="s">
        <v>48</v>
      </c>
      <c r="G218" t="s">
        <v>18</v>
      </c>
      <c r="H218" t="s">
        <v>430</v>
      </c>
      <c r="I218" t="s">
        <v>434</v>
      </c>
      <c r="J218" s="1">
        <v>-13634682.68</v>
      </c>
      <c r="K218" s="1">
        <v>0</v>
      </c>
      <c r="L218" t="s">
        <v>411</v>
      </c>
      <c r="M218" t="s">
        <v>436</v>
      </c>
    </row>
    <row r="219" spans="1:13" x14ac:dyDescent="0.25">
      <c r="A219" t="s">
        <v>13</v>
      </c>
      <c r="B219" t="s">
        <v>407</v>
      </c>
      <c r="C219">
        <v>62</v>
      </c>
      <c r="D219" t="s">
        <v>430</v>
      </c>
      <c r="E219" t="str">
        <f>VLOOKUP(D:D,Hoja2!A:B,2,FALSE)</f>
        <v>IBERCONSA DE ARGENTINA S A</v>
      </c>
      <c r="F219" t="s">
        <v>48</v>
      </c>
      <c r="G219" t="s">
        <v>18</v>
      </c>
      <c r="H219" t="s">
        <v>430</v>
      </c>
      <c r="I219" t="s">
        <v>423</v>
      </c>
      <c r="J219" s="1">
        <v>476677.13</v>
      </c>
      <c r="K219" s="1">
        <v>476677.13</v>
      </c>
      <c r="L219" t="s">
        <v>411</v>
      </c>
      <c r="M219" t="s">
        <v>437</v>
      </c>
    </row>
    <row r="220" spans="1:13" x14ac:dyDescent="0.25">
      <c r="A220" t="s">
        <v>13</v>
      </c>
      <c r="B220" t="s">
        <v>413</v>
      </c>
      <c r="C220">
        <v>5</v>
      </c>
      <c r="D220" t="s">
        <v>430</v>
      </c>
      <c r="E220" t="str">
        <f>VLOOKUP(D:D,Hoja2!A:B,2,FALSE)</f>
        <v>IBERCONSA DE ARGENTINA S A</v>
      </c>
      <c r="F220" t="s">
        <v>48</v>
      </c>
      <c r="G220" t="s">
        <v>18</v>
      </c>
      <c r="H220" t="s">
        <v>430</v>
      </c>
      <c r="I220" t="s">
        <v>423</v>
      </c>
      <c r="J220" s="1">
        <v>-476677.13</v>
      </c>
      <c r="K220" s="1">
        <v>0</v>
      </c>
      <c r="L220" t="s">
        <v>411</v>
      </c>
      <c r="M220" t="s">
        <v>438</v>
      </c>
    </row>
    <row r="221" spans="1:13" x14ac:dyDescent="0.25">
      <c r="A221" t="s">
        <v>13</v>
      </c>
      <c r="B221" t="s">
        <v>26</v>
      </c>
      <c r="C221">
        <v>2176</v>
      </c>
      <c r="D221" t="s">
        <v>439</v>
      </c>
      <c r="E221" t="str">
        <f>VLOOKUP(D:D,Hoja2!A:B,2,FALSE)</f>
        <v> FUERTES VIENTOS SA</v>
      </c>
      <c r="F221" t="s">
        <v>29</v>
      </c>
      <c r="G221" t="s">
        <v>18</v>
      </c>
      <c r="H221" t="s">
        <v>439</v>
      </c>
      <c r="I221" t="s">
        <v>441</v>
      </c>
      <c r="J221" s="1">
        <v>32.47</v>
      </c>
      <c r="K221" s="1">
        <v>32.47</v>
      </c>
      <c r="L221" t="s">
        <v>24</v>
      </c>
      <c r="M221" t="s">
        <v>442</v>
      </c>
    </row>
    <row r="222" spans="1:13" x14ac:dyDescent="0.25">
      <c r="A222" t="s">
        <v>13</v>
      </c>
      <c r="B222" t="s">
        <v>100</v>
      </c>
      <c r="C222">
        <v>52</v>
      </c>
      <c r="D222" t="s">
        <v>439</v>
      </c>
      <c r="E222" t="str">
        <f>VLOOKUP(D:D,Hoja2!A:B,2,FALSE)</f>
        <v> FUERTES VIENTOS SA</v>
      </c>
      <c r="F222" t="s">
        <v>29</v>
      </c>
      <c r="G222" t="s">
        <v>18</v>
      </c>
      <c r="H222" t="s">
        <v>439</v>
      </c>
      <c r="I222" t="s">
        <v>101</v>
      </c>
      <c r="J222" s="1">
        <v>-32.47</v>
      </c>
      <c r="K222" s="1">
        <v>0</v>
      </c>
      <c r="L222" t="s">
        <v>76</v>
      </c>
      <c r="M222" t="s">
        <v>443</v>
      </c>
    </row>
    <row r="223" spans="1:13" x14ac:dyDescent="0.25">
      <c r="A223" t="s">
        <v>13</v>
      </c>
      <c r="B223" t="s">
        <v>26</v>
      </c>
      <c r="C223">
        <v>5463</v>
      </c>
      <c r="D223" t="s">
        <v>444</v>
      </c>
      <c r="E223" t="str">
        <f>VLOOKUP(D:D,Hoja2!A:B,2,FALSE)</f>
        <v>TRANSPORTE GYAN S.R.L</v>
      </c>
      <c r="F223" t="s">
        <v>48</v>
      </c>
      <c r="G223" t="s">
        <v>18</v>
      </c>
      <c r="H223" t="s">
        <v>444</v>
      </c>
      <c r="I223" t="s">
        <v>446</v>
      </c>
      <c r="J223" s="1">
        <v>10000000</v>
      </c>
      <c r="K223" s="1">
        <v>10000000</v>
      </c>
      <c r="L223" t="s">
        <v>24</v>
      </c>
      <c r="M223" t="s">
        <v>447</v>
      </c>
    </row>
    <row r="224" spans="1:13" x14ac:dyDescent="0.25">
      <c r="A224" t="s">
        <v>13</v>
      </c>
      <c r="B224" t="s">
        <v>32</v>
      </c>
      <c r="C224">
        <v>224</v>
      </c>
      <c r="D224" t="s">
        <v>444</v>
      </c>
      <c r="E224" t="str">
        <f>VLOOKUP(D:D,Hoja2!A:B,2,FALSE)</f>
        <v>TRANSPORTE GYAN S.R.L</v>
      </c>
      <c r="F224" t="s">
        <v>48</v>
      </c>
      <c r="G224" t="s">
        <v>18</v>
      </c>
      <c r="H224" t="s">
        <v>444</v>
      </c>
      <c r="I224" t="s">
        <v>446</v>
      </c>
      <c r="J224" s="1">
        <v>-10000000</v>
      </c>
      <c r="K224" s="1">
        <v>0</v>
      </c>
      <c r="L224" t="s">
        <v>24</v>
      </c>
      <c r="M224" t="s">
        <v>448</v>
      </c>
    </row>
    <row r="225" spans="1:13" x14ac:dyDescent="0.25">
      <c r="A225" t="s">
        <v>13</v>
      </c>
      <c r="B225" t="s">
        <v>26</v>
      </c>
      <c r="C225">
        <v>2711</v>
      </c>
      <c r="D225" t="s">
        <v>449</v>
      </c>
      <c r="E225" t="str">
        <f>VLOOKUP(D:D,Hoja2!A:B,2,FALSE)</f>
        <v>SUDOCEAN SOCIEDAD POR ACCIONES SIMPLIFICADA</v>
      </c>
      <c r="F225" t="s">
        <v>29</v>
      </c>
      <c r="G225" t="s">
        <v>18</v>
      </c>
      <c r="H225" t="s">
        <v>449</v>
      </c>
      <c r="I225" t="s">
        <v>423</v>
      </c>
      <c r="J225" s="1">
        <v>21432.97</v>
      </c>
      <c r="K225" s="1">
        <v>21432.97</v>
      </c>
      <c r="L225" t="s">
        <v>24</v>
      </c>
      <c r="M225" t="s">
        <v>451</v>
      </c>
    </row>
    <row r="226" spans="1:13" x14ac:dyDescent="0.25">
      <c r="A226" t="s">
        <v>13</v>
      </c>
      <c r="B226" t="s">
        <v>32</v>
      </c>
      <c r="C226">
        <v>130</v>
      </c>
      <c r="D226" t="s">
        <v>449</v>
      </c>
      <c r="E226" t="str">
        <f>VLOOKUP(D:D,Hoja2!A:B,2,FALSE)</f>
        <v>SUDOCEAN SOCIEDAD POR ACCIONES SIMPLIFICADA</v>
      </c>
      <c r="F226" t="s">
        <v>29</v>
      </c>
      <c r="G226" t="s">
        <v>18</v>
      </c>
      <c r="H226" t="s">
        <v>449</v>
      </c>
      <c r="I226" t="s">
        <v>423</v>
      </c>
      <c r="J226" s="1">
        <v>-21432.97</v>
      </c>
      <c r="K226" s="1">
        <v>0</v>
      </c>
      <c r="L226" t="s">
        <v>24</v>
      </c>
      <c r="M226" t="s">
        <v>452</v>
      </c>
    </row>
    <row r="227" spans="1:13" x14ac:dyDescent="0.25">
      <c r="A227" t="s">
        <v>13</v>
      </c>
      <c r="B227" t="s">
        <v>26</v>
      </c>
      <c r="C227">
        <v>2734</v>
      </c>
      <c r="D227" t="s">
        <v>449</v>
      </c>
      <c r="E227" t="str">
        <f>VLOOKUP(D:D,Hoja2!A:B,2,FALSE)</f>
        <v>SUDOCEAN SOCIEDAD POR ACCIONES SIMPLIFICADA</v>
      </c>
      <c r="F227" t="s">
        <v>29</v>
      </c>
      <c r="G227" t="s">
        <v>18</v>
      </c>
      <c r="H227" t="s">
        <v>449</v>
      </c>
      <c r="I227" t="s">
        <v>426</v>
      </c>
      <c r="J227" s="1">
        <v>76153.88</v>
      </c>
      <c r="K227" s="1">
        <v>76153.88</v>
      </c>
      <c r="L227" t="s">
        <v>24</v>
      </c>
      <c r="M227" t="s">
        <v>453</v>
      </c>
    </row>
    <row r="228" spans="1:13" x14ac:dyDescent="0.25">
      <c r="A228" t="s">
        <v>13</v>
      </c>
      <c r="B228" t="s">
        <v>32</v>
      </c>
      <c r="C228">
        <v>139</v>
      </c>
      <c r="D228" t="s">
        <v>449</v>
      </c>
      <c r="E228" t="str">
        <f>VLOOKUP(D:D,Hoja2!A:B,2,FALSE)</f>
        <v>SUDOCEAN SOCIEDAD POR ACCIONES SIMPLIFICADA</v>
      </c>
      <c r="F228" t="s">
        <v>29</v>
      </c>
      <c r="G228" t="s">
        <v>18</v>
      </c>
      <c r="H228" t="s">
        <v>449</v>
      </c>
      <c r="I228" t="s">
        <v>428</v>
      </c>
      <c r="J228" s="1">
        <v>-76153.88</v>
      </c>
      <c r="K228" s="1">
        <v>0</v>
      </c>
      <c r="L228" t="s">
        <v>24</v>
      </c>
      <c r="M228" t="s">
        <v>454</v>
      </c>
    </row>
    <row r="229" spans="1:13" x14ac:dyDescent="0.25">
      <c r="A229" t="s">
        <v>13</v>
      </c>
      <c r="B229" t="s">
        <v>26</v>
      </c>
      <c r="C229">
        <v>2339</v>
      </c>
      <c r="D229" t="s">
        <v>455</v>
      </c>
      <c r="E229" t="str">
        <f>VLOOKUP(D:D,Hoja2!A:B,2,FALSE)</f>
        <v>MARINA AUSTRAL S.A.</v>
      </c>
      <c r="F229" t="s">
        <v>29</v>
      </c>
      <c r="G229" t="s">
        <v>18</v>
      </c>
      <c r="H229" t="s">
        <v>455</v>
      </c>
      <c r="I229" t="s">
        <v>457</v>
      </c>
      <c r="J229" s="1">
        <v>168640</v>
      </c>
      <c r="K229" s="1">
        <v>168640</v>
      </c>
      <c r="L229" t="s">
        <v>24</v>
      </c>
      <c r="M229" t="s">
        <v>458</v>
      </c>
    </row>
    <row r="230" spans="1:13" x14ac:dyDescent="0.25">
      <c r="A230" t="s">
        <v>13</v>
      </c>
      <c r="B230" t="s">
        <v>32</v>
      </c>
      <c r="C230">
        <v>114</v>
      </c>
      <c r="D230" t="s">
        <v>455</v>
      </c>
      <c r="E230" t="str">
        <f>VLOOKUP(D:D,Hoja2!A:B,2,FALSE)</f>
        <v>MARINA AUSTRAL S.A.</v>
      </c>
      <c r="F230" t="s">
        <v>29</v>
      </c>
      <c r="G230" t="s">
        <v>18</v>
      </c>
      <c r="H230" t="s">
        <v>455</v>
      </c>
      <c r="I230" t="s">
        <v>457</v>
      </c>
      <c r="J230" s="1">
        <v>-168640</v>
      </c>
      <c r="K230" s="1">
        <v>0</v>
      </c>
      <c r="L230" t="s">
        <v>24</v>
      </c>
      <c r="M230" t="s">
        <v>459</v>
      </c>
    </row>
    <row r="231" spans="1:13" x14ac:dyDescent="0.25">
      <c r="A231" t="s">
        <v>13</v>
      </c>
      <c r="B231" t="s">
        <v>26</v>
      </c>
      <c r="C231">
        <v>2713</v>
      </c>
      <c r="D231" t="s">
        <v>455</v>
      </c>
      <c r="E231" t="str">
        <f>VLOOKUP(D:D,Hoja2!A:B,2,FALSE)</f>
        <v>MARINA AUSTRAL S.A.</v>
      </c>
      <c r="F231" t="s">
        <v>29</v>
      </c>
      <c r="G231" t="s">
        <v>18</v>
      </c>
      <c r="H231" t="s">
        <v>455</v>
      </c>
      <c r="I231" t="s">
        <v>423</v>
      </c>
      <c r="J231" s="1">
        <v>17146.37</v>
      </c>
      <c r="K231" s="1">
        <v>17146.37</v>
      </c>
      <c r="L231" t="s">
        <v>24</v>
      </c>
      <c r="M231" t="s">
        <v>460</v>
      </c>
    </row>
    <row r="232" spans="1:13" x14ac:dyDescent="0.25">
      <c r="A232" t="s">
        <v>13</v>
      </c>
      <c r="B232" t="s">
        <v>32</v>
      </c>
      <c r="C232">
        <v>128</v>
      </c>
      <c r="D232" t="s">
        <v>455</v>
      </c>
      <c r="E232" t="str">
        <f>VLOOKUP(D:D,Hoja2!A:B,2,FALSE)</f>
        <v>MARINA AUSTRAL S.A.</v>
      </c>
      <c r="F232" t="s">
        <v>29</v>
      </c>
      <c r="G232" t="s">
        <v>18</v>
      </c>
      <c r="H232" t="s">
        <v>455</v>
      </c>
      <c r="I232" t="s">
        <v>423</v>
      </c>
      <c r="J232" s="1">
        <v>-17146.37</v>
      </c>
      <c r="K232" s="1">
        <v>0</v>
      </c>
      <c r="L232" t="s">
        <v>24</v>
      </c>
      <c r="M232" t="s">
        <v>461</v>
      </c>
    </row>
    <row r="233" spans="1:13" x14ac:dyDescent="0.25">
      <c r="A233" t="s">
        <v>13</v>
      </c>
      <c r="B233" t="s">
        <v>26</v>
      </c>
      <c r="C233">
        <v>2735</v>
      </c>
      <c r="D233" t="s">
        <v>455</v>
      </c>
      <c r="E233" t="str">
        <f>VLOOKUP(D:D,Hoja2!A:B,2,FALSE)</f>
        <v>MARINA AUSTRAL S.A.</v>
      </c>
      <c r="F233" t="s">
        <v>29</v>
      </c>
      <c r="G233" t="s">
        <v>18</v>
      </c>
      <c r="H233" t="s">
        <v>455</v>
      </c>
      <c r="I233" t="s">
        <v>426</v>
      </c>
      <c r="J233" s="1">
        <v>13827.71</v>
      </c>
      <c r="K233" s="1">
        <v>13827.71</v>
      </c>
      <c r="L233" t="s">
        <v>24</v>
      </c>
      <c r="M233" t="s">
        <v>462</v>
      </c>
    </row>
    <row r="234" spans="1:13" x14ac:dyDescent="0.25">
      <c r="A234" t="s">
        <v>13</v>
      </c>
      <c r="B234" t="s">
        <v>32</v>
      </c>
      <c r="C234">
        <v>137</v>
      </c>
      <c r="D234" t="s">
        <v>455</v>
      </c>
      <c r="E234" t="str">
        <f>VLOOKUP(D:D,Hoja2!A:B,2,FALSE)</f>
        <v>MARINA AUSTRAL S.A.</v>
      </c>
      <c r="F234" t="s">
        <v>29</v>
      </c>
      <c r="G234" t="s">
        <v>18</v>
      </c>
      <c r="H234" t="s">
        <v>455</v>
      </c>
      <c r="I234" t="s">
        <v>428</v>
      </c>
      <c r="J234" s="1">
        <v>-13827.71</v>
      </c>
      <c r="K234" s="1">
        <v>0</v>
      </c>
      <c r="L234" t="s">
        <v>24</v>
      </c>
      <c r="M234" t="s">
        <v>463</v>
      </c>
    </row>
    <row r="235" spans="1:13" x14ac:dyDescent="0.25">
      <c r="A235" t="s">
        <v>13</v>
      </c>
      <c r="B235" t="s">
        <v>26</v>
      </c>
      <c r="C235">
        <v>3437</v>
      </c>
      <c r="D235" t="s">
        <v>455</v>
      </c>
      <c r="E235" t="str">
        <f>VLOOKUP(D:D,Hoja2!A:B,2,FALSE)</f>
        <v>MARINA AUSTRAL S.A.</v>
      </c>
      <c r="F235" t="s">
        <v>29</v>
      </c>
      <c r="G235" t="s">
        <v>18</v>
      </c>
      <c r="H235" t="s">
        <v>455</v>
      </c>
      <c r="I235" t="s">
        <v>464</v>
      </c>
      <c r="J235" s="1">
        <v>2879280</v>
      </c>
      <c r="K235" s="1">
        <v>2879280</v>
      </c>
      <c r="L235" t="s">
        <v>24</v>
      </c>
      <c r="M235" t="s">
        <v>465</v>
      </c>
    </row>
    <row r="236" spans="1:13" x14ac:dyDescent="0.25">
      <c r="A236" t="s">
        <v>13</v>
      </c>
      <c r="B236" t="s">
        <v>32</v>
      </c>
      <c r="C236">
        <v>164</v>
      </c>
      <c r="D236" t="s">
        <v>455</v>
      </c>
      <c r="E236" t="str">
        <f>VLOOKUP(D:D,Hoja2!A:B,2,FALSE)</f>
        <v>MARINA AUSTRAL S.A.</v>
      </c>
      <c r="F236" t="s">
        <v>29</v>
      </c>
      <c r="G236" t="s">
        <v>18</v>
      </c>
      <c r="H236" t="s">
        <v>455</v>
      </c>
      <c r="I236" t="s">
        <v>464</v>
      </c>
      <c r="J236" s="1">
        <v>-2879280</v>
      </c>
      <c r="K236" s="1">
        <v>0</v>
      </c>
      <c r="L236" t="s">
        <v>24</v>
      </c>
      <c r="M236" t="s">
        <v>466</v>
      </c>
    </row>
    <row r="237" spans="1:13" x14ac:dyDescent="0.25">
      <c r="A237" t="s">
        <v>13</v>
      </c>
      <c r="B237" t="s">
        <v>26</v>
      </c>
      <c r="C237">
        <v>7058</v>
      </c>
      <c r="D237" t="s">
        <v>455</v>
      </c>
      <c r="E237" t="str">
        <f>VLOOKUP(D:D,Hoja2!A:B,2,FALSE)</f>
        <v>MARINA AUSTRAL S.A.</v>
      </c>
      <c r="F237" t="s">
        <v>29</v>
      </c>
      <c r="G237" t="s">
        <v>18</v>
      </c>
      <c r="H237" t="s">
        <v>455</v>
      </c>
      <c r="I237" t="s">
        <v>248</v>
      </c>
      <c r="J237" s="1">
        <v>24964176</v>
      </c>
      <c r="K237" s="1">
        <v>24964176</v>
      </c>
      <c r="L237" t="s">
        <v>24</v>
      </c>
      <c r="M237" t="s">
        <v>467</v>
      </c>
    </row>
    <row r="238" spans="1:13" x14ac:dyDescent="0.25">
      <c r="A238" t="s">
        <v>13</v>
      </c>
      <c r="B238" t="s">
        <v>32</v>
      </c>
      <c r="C238">
        <v>261</v>
      </c>
      <c r="D238" t="s">
        <v>455</v>
      </c>
      <c r="E238" t="str">
        <f>VLOOKUP(D:D,Hoja2!A:B,2,FALSE)</f>
        <v>MARINA AUSTRAL S.A.</v>
      </c>
      <c r="F238" t="s">
        <v>29</v>
      </c>
      <c r="G238" t="s">
        <v>18</v>
      </c>
      <c r="H238" t="s">
        <v>455</v>
      </c>
      <c r="I238" t="s">
        <v>248</v>
      </c>
      <c r="J238" s="1">
        <v>-24964176</v>
      </c>
      <c r="K238" s="1">
        <v>0</v>
      </c>
      <c r="L238" t="s">
        <v>24</v>
      </c>
      <c r="M238" t="s">
        <v>468</v>
      </c>
    </row>
    <row r="239" spans="1:13" x14ac:dyDescent="0.25">
      <c r="A239" t="s">
        <v>13</v>
      </c>
      <c r="B239" t="s">
        <v>26</v>
      </c>
      <c r="C239">
        <v>2712</v>
      </c>
      <c r="D239" t="s">
        <v>469</v>
      </c>
      <c r="E239" t="str">
        <f>VLOOKUP(D:D,Hoja2!A:B,2,FALSE)</f>
        <v>COOPERATIVA DE TRABAJO DEL NORTE LTDA</v>
      </c>
      <c r="F239" t="s">
        <v>29</v>
      </c>
      <c r="G239" t="s">
        <v>18</v>
      </c>
      <c r="H239" t="s">
        <v>469</v>
      </c>
      <c r="I239" t="s">
        <v>423</v>
      </c>
      <c r="J239" s="1">
        <v>46395.74</v>
      </c>
      <c r="K239" s="1">
        <v>46395.74</v>
      </c>
      <c r="L239" t="s">
        <v>24</v>
      </c>
      <c r="M239" t="s">
        <v>471</v>
      </c>
    </row>
    <row r="240" spans="1:13" x14ac:dyDescent="0.25">
      <c r="A240" t="s">
        <v>13</v>
      </c>
      <c r="B240" t="s">
        <v>32</v>
      </c>
      <c r="C240">
        <v>129</v>
      </c>
      <c r="D240" t="s">
        <v>469</v>
      </c>
      <c r="E240" t="str">
        <f>VLOOKUP(D:D,Hoja2!A:B,2,FALSE)</f>
        <v>COOPERATIVA DE TRABAJO DEL NORTE LTDA</v>
      </c>
      <c r="F240" t="s">
        <v>29</v>
      </c>
      <c r="G240" t="s">
        <v>18</v>
      </c>
      <c r="H240" t="s">
        <v>469</v>
      </c>
      <c r="I240" t="s">
        <v>423</v>
      </c>
      <c r="J240" s="1">
        <v>-46395.74</v>
      </c>
      <c r="K240" s="1">
        <v>0</v>
      </c>
      <c r="L240" t="s">
        <v>24</v>
      </c>
      <c r="M240" t="s">
        <v>472</v>
      </c>
    </row>
    <row r="241" spans="1:13" x14ac:dyDescent="0.25">
      <c r="A241" t="s">
        <v>13</v>
      </c>
      <c r="B241" t="s">
        <v>26</v>
      </c>
      <c r="C241">
        <v>3270</v>
      </c>
      <c r="D241" t="s">
        <v>469</v>
      </c>
      <c r="E241" t="str">
        <f>VLOOKUP(D:D,Hoja2!A:B,2,FALSE)</f>
        <v>COOPERATIVA DE TRABAJO DEL NORTE LTDA</v>
      </c>
      <c r="F241" t="s">
        <v>29</v>
      </c>
      <c r="G241" t="s">
        <v>18</v>
      </c>
      <c r="H241" t="s">
        <v>469</v>
      </c>
      <c r="I241" t="s">
        <v>473</v>
      </c>
      <c r="J241" s="1">
        <v>10681140.460000001</v>
      </c>
      <c r="K241" s="1">
        <v>10681140.460000001</v>
      </c>
      <c r="L241" t="s">
        <v>24</v>
      </c>
      <c r="M241" t="s">
        <v>474</v>
      </c>
    </row>
    <row r="242" spans="1:13" x14ac:dyDescent="0.25">
      <c r="A242" t="s">
        <v>13</v>
      </c>
      <c r="B242" t="s">
        <v>26</v>
      </c>
      <c r="C242">
        <v>3271</v>
      </c>
      <c r="D242" t="s">
        <v>469</v>
      </c>
      <c r="E242" t="str">
        <f>VLOOKUP(D:D,Hoja2!A:B,2,FALSE)</f>
        <v>COOPERATIVA DE TRABAJO DEL NORTE LTDA</v>
      </c>
      <c r="F242" t="s">
        <v>29</v>
      </c>
      <c r="G242" t="s">
        <v>18</v>
      </c>
      <c r="H242" t="s">
        <v>469</v>
      </c>
      <c r="I242" t="s">
        <v>475</v>
      </c>
      <c r="J242" s="1">
        <v>9755613.0999999996</v>
      </c>
      <c r="K242" s="1">
        <v>20436753.559999999</v>
      </c>
      <c r="L242" t="s">
        <v>24</v>
      </c>
      <c r="M242" t="s">
        <v>476</v>
      </c>
    </row>
    <row r="243" spans="1:13" x14ac:dyDescent="0.25">
      <c r="A243" t="s">
        <v>13</v>
      </c>
      <c r="B243" t="s">
        <v>32</v>
      </c>
      <c r="C243">
        <v>159</v>
      </c>
      <c r="D243" t="s">
        <v>469</v>
      </c>
      <c r="E243" t="str">
        <f>VLOOKUP(D:D,Hoja2!A:B,2,FALSE)</f>
        <v>COOPERATIVA DE TRABAJO DEL NORTE LTDA</v>
      </c>
      <c r="F243" t="s">
        <v>29</v>
      </c>
      <c r="G243" t="s">
        <v>18</v>
      </c>
      <c r="H243" t="s">
        <v>469</v>
      </c>
      <c r="I243" t="s">
        <v>477</v>
      </c>
      <c r="J243" s="1">
        <v>-9755613.0999999996</v>
      </c>
      <c r="K243" s="1">
        <v>10681140.460000001</v>
      </c>
      <c r="L243" t="s">
        <v>24</v>
      </c>
      <c r="M243" t="s">
        <v>478</v>
      </c>
    </row>
    <row r="244" spans="1:13" x14ac:dyDescent="0.25">
      <c r="A244" t="s">
        <v>13</v>
      </c>
      <c r="B244" t="s">
        <v>32</v>
      </c>
      <c r="C244">
        <v>160</v>
      </c>
      <c r="D244" t="s">
        <v>469</v>
      </c>
      <c r="E244" t="str">
        <f>VLOOKUP(D:D,Hoja2!A:B,2,FALSE)</f>
        <v>COOPERATIVA DE TRABAJO DEL NORTE LTDA</v>
      </c>
      <c r="F244" t="s">
        <v>29</v>
      </c>
      <c r="G244" t="s">
        <v>18</v>
      </c>
      <c r="H244" t="s">
        <v>469</v>
      </c>
      <c r="I244" t="s">
        <v>479</v>
      </c>
      <c r="J244" s="1">
        <v>-10681140.460000001</v>
      </c>
      <c r="K244" s="1">
        <v>1.8626451492309599E-9</v>
      </c>
      <c r="L244" t="s">
        <v>24</v>
      </c>
      <c r="M244" t="s">
        <v>480</v>
      </c>
    </row>
    <row r="245" spans="1:13" x14ac:dyDescent="0.25">
      <c r="A245" t="s">
        <v>13</v>
      </c>
      <c r="B245" t="s">
        <v>26</v>
      </c>
      <c r="C245">
        <v>7250</v>
      </c>
      <c r="D245" t="s">
        <v>481</v>
      </c>
      <c r="E245" t="str">
        <f>VLOOKUP(D:D,Hoja2!A:B,2,FALSE)</f>
        <v>CORYEN SA</v>
      </c>
      <c r="F245" t="s">
        <v>29</v>
      </c>
      <c r="G245" t="s">
        <v>18</v>
      </c>
      <c r="H245" t="s">
        <v>481</v>
      </c>
      <c r="I245" t="s">
        <v>40</v>
      </c>
      <c r="J245" s="1">
        <v>2699480</v>
      </c>
      <c r="K245" s="1">
        <v>2699480</v>
      </c>
      <c r="L245" t="s">
        <v>24</v>
      </c>
      <c r="M245" t="s">
        <v>483</v>
      </c>
    </row>
    <row r="246" spans="1:13" x14ac:dyDescent="0.25">
      <c r="A246" t="s">
        <v>13</v>
      </c>
      <c r="B246" t="s">
        <v>26</v>
      </c>
      <c r="C246">
        <v>7275</v>
      </c>
      <c r="D246" t="s">
        <v>481</v>
      </c>
      <c r="E246" t="str">
        <f>VLOOKUP(D:D,Hoja2!A:B,2,FALSE)</f>
        <v>CORYEN SA</v>
      </c>
      <c r="F246" t="s">
        <v>29</v>
      </c>
      <c r="G246" t="s">
        <v>18</v>
      </c>
      <c r="H246" t="s">
        <v>481</v>
      </c>
      <c r="I246" t="s">
        <v>42</v>
      </c>
      <c r="J246" s="1">
        <v>570400</v>
      </c>
      <c r="K246" s="1">
        <v>3269880</v>
      </c>
      <c r="L246" t="s">
        <v>24</v>
      </c>
      <c r="M246" t="s">
        <v>484</v>
      </c>
    </row>
    <row r="247" spans="1:13" x14ac:dyDescent="0.25">
      <c r="A247" t="s">
        <v>13</v>
      </c>
      <c r="B247" t="s">
        <v>26</v>
      </c>
      <c r="C247">
        <v>7294</v>
      </c>
      <c r="D247" t="s">
        <v>481</v>
      </c>
      <c r="E247" t="str">
        <f>VLOOKUP(D:D,Hoja2!A:B,2,FALSE)</f>
        <v>CORYEN SA</v>
      </c>
      <c r="F247" t="s">
        <v>29</v>
      </c>
      <c r="G247" t="s">
        <v>18</v>
      </c>
      <c r="H247" t="s">
        <v>481</v>
      </c>
      <c r="I247" t="s">
        <v>44</v>
      </c>
      <c r="J247" s="1">
        <v>15884400</v>
      </c>
      <c r="K247" s="1">
        <v>19154280</v>
      </c>
      <c r="L247" t="s">
        <v>24</v>
      </c>
      <c r="M247" t="s">
        <v>485</v>
      </c>
    </row>
    <row r="248" spans="1:13" x14ac:dyDescent="0.25">
      <c r="A248" t="s">
        <v>13</v>
      </c>
      <c r="B248" t="s">
        <v>26</v>
      </c>
      <c r="C248">
        <v>7308</v>
      </c>
      <c r="D248" t="s">
        <v>481</v>
      </c>
      <c r="E248" t="str">
        <f>VLOOKUP(D:D,Hoja2!A:B,2,FALSE)</f>
        <v>CORYEN SA</v>
      </c>
      <c r="F248" t="s">
        <v>29</v>
      </c>
      <c r="G248" t="s">
        <v>18</v>
      </c>
      <c r="H248" t="s">
        <v>481</v>
      </c>
      <c r="I248" t="s">
        <v>133</v>
      </c>
      <c r="J248" s="1">
        <v>843200</v>
      </c>
      <c r="K248" s="1">
        <v>19997480</v>
      </c>
      <c r="L248" t="s">
        <v>24</v>
      </c>
      <c r="M248" t="s">
        <v>486</v>
      </c>
    </row>
    <row r="249" spans="1:13" x14ac:dyDescent="0.25">
      <c r="A249" t="s">
        <v>13</v>
      </c>
      <c r="B249" t="s">
        <v>100</v>
      </c>
      <c r="C249">
        <v>64</v>
      </c>
      <c r="D249" t="s">
        <v>487</v>
      </c>
      <c r="E249" t="str">
        <f>VLOOKUP(D:D,Hoja2!A:B,2,FALSE)</f>
        <v>PESQUERA 20 DE NOVIEMBRE S.A.</v>
      </c>
      <c r="F249" t="s">
        <v>105</v>
      </c>
      <c r="G249" t="s">
        <v>18</v>
      </c>
      <c r="H249" t="s">
        <v>487</v>
      </c>
      <c r="I249" t="s">
        <v>489</v>
      </c>
      <c r="J249" s="1">
        <v>-40094.910000000003</v>
      </c>
      <c r="K249" s="1">
        <v>-40094.910000000003</v>
      </c>
      <c r="L249" t="s">
        <v>76</v>
      </c>
      <c r="M249" t="s">
        <v>490</v>
      </c>
    </row>
    <row r="250" spans="1:13" x14ac:dyDescent="0.25">
      <c r="A250" t="s">
        <v>13</v>
      </c>
      <c r="B250" t="s">
        <v>491</v>
      </c>
      <c r="C250">
        <v>52</v>
      </c>
      <c r="D250" t="s">
        <v>487</v>
      </c>
      <c r="E250" t="str">
        <f>VLOOKUP(D:D,Hoja2!A:B,2,FALSE)</f>
        <v>PESQUERA 20 DE NOVIEMBRE S.A.</v>
      </c>
      <c r="F250" t="s">
        <v>105</v>
      </c>
      <c r="G250" t="s">
        <v>18</v>
      </c>
      <c r="H250" t="s">
        <v>487</v>
      </c>
      <c r="I250" t="s">
        <v>489</v>
      </c>
      <c r="J250" s="1">
        <v>40094.910000000003</v>
      </c>
      <c r="K250" s="1">
        <v>0</v>
      </c>
      <c r="L250" t="s">
        <v>76</v>
      </c>
      <c r="M250" t="s">
        <v>443</v>
      </c>
    </row>
    <row r="251" spans="1:13" x14ac:dyDescent="0.25">
      <c r="A251" t="s">
        <v>13</v>
      </c>
      <c r="B251" t="s">
        <v>32</v>
      </c>
      <c r="C251">
        <v>182</v>
      </c>
      <c r="D251" t="s">
        <v>492</v>
      </c>
      <c r="E251" t="str">
        <f>VLOOKUP(D:D,Hoja2!A:B,2,FALSE)</f>
        <v>SAORI SA</v>
      </c>
      <c r="F251" t="s">
        <v>29</v>
      </c>
      <c r="G251" t="s">
        <v>18</v>
      </c>
      <c r="H251" t="s">
        <v>492</v>
      </c>
      <c r="I251" t="s">
        <v>494</v>
      </c>
      <c r="J251" s="1">
        <v>-1209595.1499999999</v>
      </c>
      <c r="K251" s="1">
        <v>-1209595.1499999999</v>
      </c>
      <c r="L251" t="s">
        <v>24</v>
      </c>
      <c r="M251" t="s">
        <v>495</v>
      </c>
    </row>
    <row r="252" spans="1:13" x14ac:dyDescent="0.25">
      <c r="A252" t="s">
        <v>13</v>
      </c>
      <c r="B252" t="s">
        <v>100</v>
      </c>
      <c r="C252">
        <v>62</v>
      </c>
      <c r="D252" t="s">
        <v>492</v>
      </c>
      <c r="E252" t="str">
        <f>VLOOKUP(D:D,Hoja2!A:B,2,FALSE)</f>
        <v>SAORI SA</v>
      </c>
      <c r="F252" t="s">
        <v>29</v>
      </c>
      <c r="G252" t="s">
        <v>18</v>
      </c>
      <c r="H252" t="s">
        <v>492</v>
      </c>
      <c r="I252" t="s">
        <v>496</v>
      </c>
      <c r="J252" s="1">
        <v>-1287684.6000000001</v>
      </c>
      <c r="K252" s="1">
        <v>-2497279.75</v>
      </c>
      <c r="L252" t="s">
        <v>76</v>
      </c>
      <c r="M252" t="s">
        <v>497</v>
      </c>
    </row>
    <row r="253" spans="1:13" x14ac:dyDescent="0.25">
      <c r="A253" t="s">
        <v>13</v>
      </c>
      <c r="B253" t="s">
        <v>26</v>
      </c>
      <c r="C253">
        <v>4395</v>
      </c>
      <c r="D253" t="s">
        <v>492</v>
      </c>
      <c r="E253" t="str">
        <f>VLOOKUP(D:D,Hoja2!A:B,2,FALSE)</f>
        <v>SAORI SA</v>
      </c>
      <c r="F253" t="s">
        <v>29</v>
      </c>
      <c r="G253" t="s">
        <v>18</v>
      </c>
      <c r="H253" t="s">
        <v>492</v>
      </c>
      <c r="I253" t="s">
        <v>498</v>
      </c>
      <c r="J253" s="1">
        <v>2470581.23</v>
      </c>
      <c r="K253" s="1">
        <v>-26698.52</v>
      </c>
      <c r="L253" t="s">
        <v>24</v>
      </c>
      <c r="M253" t="s">
        <v>499</v>
      </c>
    </row>
    <row r="254" spans="1:13" x14ac:dyDescent="0.25">
      <c r="A254" t="s">
        <v>13</v>
      </c>
      <c r="B254" t="s">
        <v>26</v>
      </c>
      <c r="C254">
        <v>4416</v>
      </c>
      <c r="D254" t="s">
        <v>492</v>
      </c>
      <c r="E254" t="str">
        <f>VLOOKUP(D:D,Hoja2!A:B,2,FALSE)</f>
        <v>SAORI SA</v>
      </c>
      <c r="F254" t="s">
        <v>29</v>
      </c>
      <c r="G254" t="s">
        <v>18</v>
      </c>
      <c r="H254" t="s">
        <v>492</v>
      </c>
      <c r="I254" t="s">
        <v>500</v>
      </c>
      <c r="J254" s="1">
        <v>26698.52</v>
      </c>
      <c r="K254" s="1">
        <v>-1.81898940354586E-11</v>
      </c>
      <c r="L254" t="s">
        <v>24</v>
      </c>
      <c r="M254" t="s">
        <v>501</v>
      </c>
    </row>
    <row r="255" spans="1:13" x14ac:dyDescent="0.25">
      <c r="A255" t="s">
        <v>13</v>
      </c>
      <c r="B255" t="s">
        <v>26</v>
      </c>
      <c r="C255">
        <v>4938</v>
      </c>
      <c r="D255" t="s">
        <v>492</v>
      </c>
      <c r="E255" t="str">
        <f>VLOOKUP(D:D,Hoja2!A:B,2,FALSE)</f>
        <v>SAORI SA</v>
      </c>
      <c r="F255" t="s">
        <v>29</v>
      </c>
      <c r="G255" t="s">
        <v>18</v>
      </c>
      <c r="H255" t="s">
        <v>492</v>
      </c>
      <c r="I255" t="s">
        <v>502</v>
      </c>
      <c r="J255" s="1">
        <v>15261610</v>
      </c>
      <c r="K255" s="1">
        <v>15261610</v>
      </c>
      <c r="L255" t="s">
        <v>24</v>
      </c>
      <c r="M255" t="s">
        <v>503</v>
      </c>
    </row>
    <row r="256" spans="1:13" x14ac:dyDescent="0.25">
      <c r="A256" t="s">
        <v>13</v>
      </c>
      <c r="B256" t="s">
        <v>32</v>
      </c>
      <c r="C256">
        <v>214</v>
      </c>
      <c r="D256" t="s">
        <v>492</v>
      </c>
      <c r="E256" t="str">
        <f>VLOOKUP(D:D,Hoja2!A:B,2,FALSE)</f>
        <v>SAORI SA</v>
      </c>
      <c r="F256" t="s">
        <v>29</v>
      </c>
      <c r="G256" t="s">
        <v>18</v>
      </c>
      <c r="H256" t="s">
        <v>492</v>
      </c>
      <c r="I256" t="s">
        <v>504</v>
      </c>
      <c r="J256" s="1">
        <v>-15261610</v>
      </c>
      <c r="K256" s="1">
        <v>0</v>
      </c>
      <c r="L256" t="s">
        <v>24</v>
      </c>
      <c r="M256" t="s">
        <v>505</v>
      </c>
    </row>
    <row r="257" spans="1:13" x14ac:dyDescent="0.25">
      <c r="A257" t="s">
        <v>13</v>
      </c>
      <c r="B257" t="s">
        <v>26</v>
      </c>
      <c r="C257">
        <v>7286</v>
      </c>
      <c r="D257" t="s">
        <v>492</v>
      </c>
      <c r="E257" t="str">
        <f>VLOOKUP(D:D,Hoja2!A:B,2,FALSE)</f>
        <v>SAORI SA</v>
      </c>
      <c r="F257" t="s">
        <v>29</v>
      </c>
      <c r="G257" t="s">
        <v>18</v>
      </c>
      <c r="H257" t="s">
        <v>492</v>
      </c>
      <c r="I257" t="s">
        <v>42</v>
      </c>
      <c r="J257" s="1">
        <v>12446500</v>
      </c>
      <c r="K257" s="1">
        <v>12446500</v>
      </c>
      <c r="L257" t="s">
        <v>24</v>
      </c>
      <c r="M257" t="s">
        <v>506</v>
      </c>
    </row>
    <row r="258" spans="1:13" x14ac:dyDescent="0.25">
      <c r="A258" t="s">
        <v>13</v>
      </c>
      <c r="B258" t="s">
        <v>26</v>
      </c>
      <c r="C258">
        <v>7305</v>
      </c>
      <c r="D258" t="s">
        <v>492</v>
      </c>
      <c r="E258" t="str">
        <f>VLOOKUP(D:D,Hoja2!A:B,2,FALSE)</f>
        <v>SAORI SA</v>
      </c>
      <c r="F258" t="s">
        <v>29</v>
      </c>
      <c r="G258" t="s">
        <v>18</v>
      </c>
      <c r="H258" t="s">
        <v>492</v>
      </c>
      <c r="I258" t="s">
        <v>44</v>
      </c>
      <c r="J258" s="1">
        <v>24552000</v>
      </c>
      <c r="K258" s="1">
        <v>36998500</v>
      </c>
      <c r="L258" t="s">
        <v>24</v>
      </c>
      <c r="M258" t="s">
        <v>507</v>
      </c>
    </row>
    <row r="259" spans="1:13" x14ac:dyDescent="0.25">
      <c r="A259" t="s">
        <v>13</v>
      </c>
      <c r="B259" t="s">
        <v>26</v>
      </c>
      <c r="C259">
        <v>4089</v>
      </c>
      <c r="D259" t="s">
        <v>508</v>
      </c>
      <c r="E259" t="str">
        <f>VLOOKUP(D:D,Hoja2!A:B,2,FALSE)</f>
        <v>VENUS PESQUERA SRL</v>
      </c>
      <c r="F259" t="s">
        <v>48</v>
      </c>
      <c r="G259" t="s">
        <v>18</v>
      </c>
      <c r="H259" t="s">
        <v>508</v>
      </c>
      <c r="I259" t="s">
        <v>510</v>
      </c>
      <c r="J259" s="1">
        <v>1629277.82</v>
      </c>
      <c r="K259" s="1">
        <v>1629277.82</v>
      </c>
      <c r="L259" t="s">
        <v>24</v>
      </c>
      <c r="M259" t="s">
        <v>511</v>
      </c>
    </row>
    <row r="260" spans="1:13" x14ac:dyDescent="0.25">
      <c r="A260" t="s">
        <v>13</v>
      </c>
      <c r="B260" t="s">
        <v>32</v>
      </c>
      <c r="C260">
        <v>180</v>
      </c>
      <c r="D260" t="s">
        <v>508</v>
      </c>
      <c r="E260" t="str">
        <f>VLOOKUP(D:D,Hoja2!A:B,2,FALSE)</f>
        <v>VENUS PESQUERA SRL</v>
      </c>
      <c r="F260" t="s">
        <v>48</v>
      </c>
      <c r="G260" t="s">
        <v>18</v>
      </c>
      <c r="H260" t="s">
        <v>508</v>
      </c>
      <c r="I260" t="s">
        <v>512</v>
      </c>
      <c r="J260" s="1">
        <v>-1629277.82</v>
      </c>
      <c r="K260" s="1">
        <v>0</v>
      </c>
      <c r="L260" t="s">
        <v>24</v>
      </c>
      <c r="M260" t="s">
        <v>513</v>
      </c>
    </row>
    <row r="261" spans="1:13" x14ac:dyDescent="0.25">
      <c r="A261" t="s">
        <v>13</v>
      </c>
      <c r="B261" t="s">
        <v>26</v>
      </c>
      <c r="C261">
        <v>6007</v>
      </c>
      <c r="D261" t="s">
        <v>514</v>
      </c>
      <c r="E261" t="str">
        <f>VLOOKUP(D:D,Hoja2!A:B,2,FALSE)</f>
        <v>(NO USAR) COOPERATIVA DE TRABAJO FORTALEZA LIMITADA</v>
      </c>
      <c r="F261" t="s">
        <v>29</v>
      </c>
      <c r="G261" t="s">
        <v>18</v>
      </c>
      <c r="H261" t="s">
        <v>514</v>
      </c>
      <c r="I261" t="s">
        <v>516</v>
      </c>
      <c r="J261" s="1">
        <v>23100</v>
      </c>
      <c r="K261" s="1">
        <v>23100</v>
      </c>
      <c r="L261" t="s">
        <v>24</v>
      </c>
      <c r="M261" t="s">
        <v>517</v>
      </c>
    </row>
    <row r="262" spans="1:13" x14ac:dyDescent="0.25">
      <c r="A262" t="s">
        <v>13</v>
      </c>
      <c r="B262" t="s">
        <v>32</v>
      </c>
      <c r="C262">
        <v>234</v>
      </c>
      <c r="D262" t="s">
        <v>514</v>
      </c>
      <c r="E262" t="str">
        <f>VLOOKUP(D:D,Hoja2!A:B,2,FALSE)</f>
        <v>(NO USAR) COOPERATIVA DE TRABAJO FORTALEZA LIMITADA</v>
      </c>
      <c r="F262" t="s">
        <v>29</v>
      </c>
      <c r="G262" t="s">
        <v>18</v>
      </c>
      <c r="H262" t="s">
        <v>514</v>
      </c>
      <c r="I262" t="s">
        <v>518</v>
      </c>
      <c r="J262" s="1">
        <v>-23100</v>
      </c>
      <c r="K262" s="1">
        <v>0</v>
      </c>
      <c r="L262" t="s">
        <v>24</v>
      </c>
      <c r="M262" t="s">
        <v>519</v>
      </c>
    </row>
    <row r="263" spans="1:13" x14ac:dyDescent="0.25">
      <c r="A263" t="s">
        <v>13</v>
      </c>
      <c r="B263" t="s">
        <v>26</v>
      </c>
      <c r="C263">
        <v>4561</v>
      </c>
      <c r="D263" t="s">
        <v>520</v>
      </c>
      <c r="E263" t="str">
        <f>VLOOKUP(D:D,Hoja2!A:B,2,FALSE)</f>
        <v>OCEAN STAR S.A.</v>
      </c>
      <c r="F263" t="s">
        <v>20</v>
      </c>
      <c r="G263" t="s">
        <v>18</v>
      </c>
      <c r="H263" t="s">
        <v>520</v>
      </c>
      <c r="I263" t="s">
        <v>521</v>
      </c>
      <c r="J263" s="1">
        <v>14733867.5</v>
      </c>
      <c r="K263" s="1">
        <v>14733867.5</v>
      </c>
      <c r="L263" t="s">
        <v>24</v>
      </c>
      <c r="M263" t="s">
        <v>522</v>
      </c>
    </row>
    <row r="264" spans="1:13" x14ac:dyDescent="0.25">
      <c r="A264" t="s">
        <v>13</v>
      </c>
      <c r="B264" t="s">
        <v>32</v>
      </c>
      <c r="C264">
        <v>209</v>
      </c>
      <c r="D264" t="s">
        <v>520</v>
      </c>
      <c r="E264" t="str">
        <f>VLOOKUP(D:D,Hoja2!A:B,2,FALSE)</f>
        <v>OCEAN STAR S.A.</v>
      </c>
      <c r="F264" t="s">
        <v>20</v>
      </c>
      <c r="G264" t="s">
        <v>18</v>
      </c>
      <c r="H264" t="s">
        <v>520</v>
      </c>
      <c r="I264" t="s">
        <v>523</v>
      </c>
      <c r="J264" s="1">
        <v>-14733867.5</v>
      </c>
      <c r="K264" s="1">
        <v>0</v>
      </c>
      <c r="L264" t="s">
        <v>24</v>
      </c>
      <c r="M264" t="s">
        <v>524</v>
      </c>
    </row>
    <row r="265" spans="1:13" x14ac:dyDescent="0.25">
      <c r="A265" t="s">
        <v>13</v>
      </c>
      <c r="B265" t="s">
        <v>26</v>
      </c>
      <c r="C265">
        <v>4939</v>
      </c>
      <c r="D265" t="s">
        <v>520</v>
      </c>
      <c r="E265" t="str">
        <f>VLOOKUP(D:D,Hoja2!A:B,2,FALSE)</f>
        <v>OCEAN STAR S.A.</v>
      </c>
      <c r="F265" t="s">
        <v>20</v>
      </c>
      <c r="G265" t="s">
        <v>18</v>
      </c>
      <c r="H265" t="s">
        <v>520</v>
      </c>
      <c r="I265" t="s">
        <v>504</v>
      </c>
      <c r="J265" s="1">
        <v>46447300</v>
      </c>
      <c r="K265" s="1">
        <v>46447300</v>
      </c>
      <c r="L265" t="s">
        <v>24</v>
      </c>
      <c r="M265" t="s">
        <v>525</v>
      </c>
    </row>
    <row r="266" spans="1:13" x14ac:dyDescent="0.25">
      <c r="A266" t="s">
        <v>13</v>
      </c>
      <c r="B266" t="s">
        <v>26</v>
      </c>
      <c r="C266">
        <v>4940</v>
      </c>
      <c r="D266" t="s">
        <v>520</v>
      </c>
      <c r="E266" t="str">
        <f>VLOOKUP(D:D,Hoja2!A:B,2,FALSE)</f>
        <v>OCEAN STAR S.A.</v>
      </c>
      <c r="F266" t="s">
        <v>20</v>
      </c>
      <c r="G266" t="s">
        <v>18</v>
      </c>
      <c r="H266" t="s">
        <v>520</v>
      </c>
      <c r="I266" t="s">
        <v>504</v>
      </c>
      <c r="J266" s="1">
        <v>69638400</v>
      </c>
      <c r="K266" s="1">
        <v>116085700</v>
      </c>
      <c r="L266" t="s">
        <v>24</v>
      </c>
      <c r="M266" t="s">
        <v>526</v>
      </c>
    </row>
    <row r="267" spans="1:13" x14ac:dyDescent="0.25">
      <c r="A267" t="s">
        <v>13</v>
      </c>
      <c r="B267" t="s">
        <v>32</v>
      </c>
      <c r="C267">
        <v>213</v>
      </c>
      <c r="D267" t="s">
        <v>520</v>
      </c>
      <c r="E267" t="str">
        <f>VLOOKUP(D:D,Hoja2!A:B,2,FALSE)</f>
        <v>OCEAN STAR S.A.</v>
      </c>
      <c r="F267" t="s">
        <v>20</v>
      </c>
      <c r="G267" t="s">
        <v>18</v>
      </c>
      <c r="H267" t="s">
        <v>520</v>
      </c>
      <c r="I267" t="s">
        <v>504</v>
      </c>
      <c r="J267" s="1">
        <v>-46447300</v>
      </c>
      <c r="K267" s="1">
        <v>69638400</v>
      </c>
      <c r="L267" t="s">
        <v>24</v>
      </c>
      <c r="M267" t="s">
        <v>527</v>
      </c>
    </row>
    <row r="268" spans="1:13" x14ac:dyDescent="0.25">
      <c r="A268" t="s">
        <v>13</v>
      </c>
      <c r="B268" t="s">
        <v>32</v>
      </c>
      <c r="C268">
        <v>215</v>
      </c>
      <c r="D268" t="s">
        <v>520</v>
      </c>
      <c r="E268" t="str">
        <f>VLOOKUP(D:D,Hoja2!A:B,2,FALSE)</f>
        <v>OCEAN STAR S.A.</v>
      </c>
      <c r="F268" t="s">
        <v>20</v>
      </c>
      <c r="G268" t="s">
        <v>18</v>
      </c>
      <c r="H268" t="s">
        <v>520</v>
      </c>
      <c r="I268" t="s">
        <v>528</v>
      </c>
      <c r="J268" s="1">
        <v>-69638400</v>
      </c>
      <c r="K268" s="1">
        <v>0</v>
      </c>
      <c r="L268" t="s">
        <v>24</v>
      </c>
      <c r="M268" t="s">
        <v>529</v>
      </c>
    </row>
    <row r="269" spans="1:13" x14ac:dyDescent="0.25">
      <c r="A269" t="s">
        <v>13</v>
      </c>
      <c r="B269" t="s">
        <v>26</v>
      </c>
      <c r="C269">
        <v>5423</v>
      </c>
      <c r="D269" t="s">
        <v>520</v>
      </c>
      <c r="E269" t="str">
        <f>VLOOKUP(D:D,Hoja2!A:B,2,FALSE)</f>
        <v>OCEAN STAR S.A.</v>
      </c>
      <c r="F269" t="s">
        <v>20</v>
      </c>
      <c r="G269" t="s">
        <v>18</v>
      </c>
      <c r="H269" t="s">
        <v>520</v>
      </c>
      <c r="I269" t="s">
        <v>530</v>
      </c>
      <c r="J269" s="1">
        <v>8364626.3300000001</v>
      </c>
      <c r="K269" s="1">
        <v>8364626.3300000001</v>
      </c>
      <c r="L269" t="s">
        <v>24</v>
      </c>
      <c r="M269" t="s">
        <v>531</v>
      </c>
    </row>
    <row r="270" spans="1:13" x14ac:dyDescent="0.25">
      <c r="A270" t="s">
        <v>13</v>
      </c>
      <c r="B270" t="s">
        <v>26</v>
      </c>
      <c r="C270">
        <v>5437</v>
      </c>
      <c r="D270" t="s">
        <v>520</v>
      </c>
      <c r="E270" t="str">
        <f>VLOOKUP(D:D,Hoja2!A:B,2,FALSE)</f>
        <v>OCEAN STAR S.A.</v>
      </c>
      <c r="F270" t="s">
        <v>20</v>
      </c>
      <c r="G270" t="s">
        <v>18</v>
      </c>
      <c r="H270" t="s">
        <v>520</v>
      </c>
      <c r="I270" t="s">
        <v>532</v>
      </c>
      <c r="J270" s="1">
        <v>15000000</v>
      </c>
      <c r="K270" s="1">
        <v>23364626.329999998</v>
      </c>
      <c r="L270" t="s">
        <v>24</v>
      </c>
      <c r="M270" t="s">
        <v>533</v>
      </c>
    </row>
    <row r="271" spans="1:13" x14ac:dyDescent="0.25">
      <c r="A271" t="s">
        <v>13</v>
      </c>
      <c r="B271" t="s">
        <v>26</v>
      </c>
      <c r="C271">
        <v>5449</v>
      </c>
      <c r="D271" t="s">
        <v>520</v>
      </c>
      <c r="E271" t="str">
        <f>VLOOKUP(D:D,Hoja2!A:B,2,FALSE)</f>
        <v>OCEAN STAR S.A.</v>
      </c>
      <c r="F271" t="s">
        <v>20</v>
      </c>
      <c r="G271" t="s">
        <v>18</v>
      </c>
      <c r="H271" t="s">
        <v>520</v>
      </c>
      <c r="I271" t="s">
        <v>534</v>
      </c>
      <c r="J271" s="1">
        <v>13000000</v>
      </c>
      <c r="K271" s="1">
        <v>36364626.329999998</v>
      </c>
      <c r="L271" t="s">
        <v>24</v>
      </c>
      <c r="M271" t="s">
        <v>535</v>
      </c>
    </row>
    <row r="272" spans="1:13" x14ac:dyDescent="0.25">
      <c r="A272" t="s">
        <v>13</v>
      </c>
      <c r="B272" t="s">
        <v>26</v>
      </c>
      <c r="C272">
        <v>5462</v>
      </c>
      <c r="D272" t="s">
        <v>520</v>
      </c>
      <c r="E272" t="str">
        <f>VLOOKUP(D:D,Hoja2!A:B,2,FALSE)</f>
        <v>OCEAN STAR S.A.</v>
      </c>
      <c r="F272" t="s">
        <v>20</v>
      </c>
      <c r="G272" t="s">
        <v>18</v>
      </c>
      <c r="H272" t="s">
        <v>520</v>
      </c>
      <c r="I272" t="s">
        <v>446</v>
      </c>
      <c r="J272" s="1">
        <v>8000000</v>
      </c>
      <c r="K272" s="1">
        <v>44364626.329999998</v>
      </c>
      <c r="L272" t="s">
        <v>24</v>
      </c>
      <c r="M272" t="s">
        <v>536</v>
      </c>
    </row>
    <row r="273" spans="1:13" x14ac:dyDescent="0.25">
      <c r="A273" t="s">
        <v>13</v>
      </c>
      <c r="B273" t="s">
        <v>26</v>
      </c>
      <c r="C273">
        <v>5467</v>
      </c>
      <c r="D273" t="s">
        <v>520</v>
      </c>
      <c r="E273" t="str">
        <f>VLOOKUP(D:D,Hoja2!A:B,2,FALSE)</f>
        <v>OCEAN STAR S.A.</v>
      </c>
      <c r="F273" t="s">
        <v>20</v>
      </c>
      <c r="G273" t="s">
        <v>18</v>
      </c>
      <c r="H273" t="s">
        <v>520</v>
      </c>
      <c r="I273" t="s">
        <v>537</v>
      </c>
      <c r="J273" s="1">
        <v>22598200</v>
      </c>
      <c r="K273" s="1">
        <v>66962826.329999998</v>
      </c>
      <c r="L273" t="s">
        <v>24</v>
      </c>
      <c r="M273" t="s">
        <v>538</v>
      </c>
    </row>
    <row r="274" spans="1:13" x14ac:dyDescent="0.25">
      <c r="A274" t="s">
        <v>13</v>
      </c>
      <c r="B274" t="s">
        <v>26</v>
      </c>
      <c r="C274">
        <v>5489</v>
      </c>
      <c r="D274" t="s">
        <v>520</v>
      </c>
      <c r="E274" t="str">
        <f>VLOOKUP(D:D,Hoja2!A:B,2,FALSE)</f>
        <v>OCEAN STAR S.A.</v>
      </c>
      <c r="F274" t="s">
        <v>20</v>
      </c>
      <c r="G274" t="s">
        <v>18</v>
      </c>
      <c r="H274" t="s">
        <v>520</v>
      </c>
      <c r="I274" t="s">
        <v>539</v>
      </c>
      <c r="J274" s="1">
        <v>8454744</v>
      </c>
      <c r="K274" s="1">
        <v>75417570.329999998</v>
      </c>
      <c r="L274" t="s">
        <v>24</v>
      </c>
      <c r="M274" t="s">
        <v>540</v>
      </c>
    </row>
    <row r="275" spans="1:13" x14ac:dyDescent="0.25">
      <c r="A275" t="s">
        <v>13</v>
      </c>
      <c r="B275" t="s">
        <v>26</v>
      </c>
      <c r="C275">
        <v>5490</v>
      </c>
      <c r="D275" t="s">
        <v>520</v>
      </c>
      <c r="E275" t="str">
        <f>VLOOKUP(D:D,Hoja2!A:B,2,FALSE)</f>
        <v>OCEAN STAR S.A.</v>
      </c>
      <c r="F275" t="s">
        <v>20</v>
      </c>
      <c r="G275" t="s">
        <v>18</v>
      </c>
      <c r="H275" t="s">
        <v>520</v>
      </c>
      <c r="I275" t="s">
        <v>541</v>
      </c>
      <c r="J275" s="1">
        <v>14843850</v>
      </c>
      <c r="K275" s="1">
        <v>90261420.329999998</v>
      </c>
      <c r="L275" t="s">
        <v>24</v>
      </c>
      <c r="M275" t="s">
        <v>542</v>
      </c>
    </row>
    <row r="276" spans="1:13" x14ac:dyDescent="0.25">
      <c r="A276" t="s">
        <v>13</v>
      </c>
      <c r="B276" t="s">
        <v>26</v>
      </c>
      <c r="C276">
        <v>5496</v>
      </c>
      <c r="D276" t="s">
        <v>520</v>
      </c>
      <c r="E276" t="str">
        <f>VLOOKUP(D:D,Hoja2!A:B,2,FALSE)</f>
        <v>OCEAN STAR S.A.</v>
      </c>
      <c r="F276" t="s">
        <v>20</v>
      </c>
      <c r="G276" t="s">
        <v>18</v>
      </c>
      <c r="H276" t="s">
        <v>520</v>
      </c>
      <c r="I276" t="s">
        <v>543</v>
      </c>
      <c r="J276" s="1">
        <v>26883460</v>
      </c>
      <c r="K276" s="1">
        <v>117144880.33</v>
      </c>
      <c r="L276" t="s">
        <v>24</v>
      </c>
      <c r="M276" t="s">
        <v>544</v>
      </c>
    </row>
    <row r="277" spans="1:13" x14ac:dyDescent="0.25">
      <c r="A277" t="s">
        <v>13</v>
      </c>
      <c r="B277" t="s">
        <v>26</v>
      </c>
      <c r="C277">
        <v>5500</v>
      </c>
      <c r="D277" t="s">
        <v>520</v>
      </c>
      <c r="E277" t="str">
        <f>VLOOKUP(D:D,Hoja2!A:B,2,FALSE)</f>
        <v>OCEAN STAR S.A.</v>
      </c>
      <c r="F277" t="s">
        <v>20</v>
      </c>
      <c r="G277" t="s">
        <v>18</v>
      </c>
      <c r="H277" t="s">
        <v>520</v>
      </c>
      <c r="I277" t="s">
        <v>543</v>
      </c>
      <c r="J277" s="1">
        <v>897050</v>
      </c>
      <c r="K277" s="1">
        <v>118041930.33</v>
      </c>
      <c r="L277" t="s">
        <v>24</v>
      </c>
      <c r="M277" t="s">
        <v>545</v>
      </c>
    </row>
    <row r="278" spans="1:13" x14ac:dyDescent="0.25">
      <c r="A278" t="s">
        <v>13</v>
      </c>
      <c r="B278" t="s">
        <v>26</v>
      </c>
      <c r="C278">
        <v>5520</v>
      </c>
      <c r="D278" t="s">
        <v>520</v>
      </c>
      <c r="E278" t="str">
        <f>VLOOKUP(D:D,Hoja2!A:B,2,FALSE)</f>
        <v>OCEAN STAR S.A.</v>
      </c>
      <c r="F278" t="s">
        <v>20</v>
      </c>
      <c r="G278" t="s">
        <v>18</v>
      </c>
      <c r="H278" t="s">
        <v>520</v>
      </c>
      <c r="I278" t="s">
        <v>546</v>
      </c>
      <c r="J278" s="1">
        <v>10000000</v>
      </c>
      <c r="K278" s="1">
        <v>128041930.33</v>
      </c>
      <c r="L278" t="s">
        <v>24</v>
      </c>
      <c r="M278" t="s">
        <v>547</v>
      </c>
    </row>
    <row r="279" spans="1:13" x14ac:dyDescent="0.25">
      <c r="A279" t="s">
        <v>13</v>
      </c>
      <c r="B279" t="s">
        <v>26</v>
      </c>
      <c r="C279">
        <v>5602</v>
      </c>
      <c r="D279" t="s">
        <v>520</v>
      </c>
      <c r="E279" t="str">
        <f>VLOOKUP(D:D,Hoja2!A:B,2,FALSE)</f>
        <v>OCEAN STAR S.A.</v>
      </c>
      <c r="F279" t="s">
        <v>20</v>
      </c>
      <c r="G279" t="s">
        <v>18</v>
      </c>
      <c r="H279" t="s">
        <v>520</v>
      </c>
      <c r="I279" t="s">
        <v>548</v>
      </c>
      <c r="J279" s="1">
        <v>8825048</v>
      </c>
      <c r="K279" s="1">
        <v>136866978.33000001</v>
      </c>
      <c r="L279" t="s">
        <v>24</v>
      </c>
      <c r="M279" t="s">
        <v>549</v>
      </c>
    </row>
    <row r="280" spans="1:13" x14ac:dyDescent="0.25">
      <c r="A280" t="s">
        <v>13</v>
      </c>
      <c r="B280" t="s">
        <v>26</v>
      </c>
      <c r="C280">
        <v>5972</v>
      </c>
      <c r="D280" t="s">
        <v>550</v>
      </c>
      <c r="E280" t="str">
        <f>VLOOKUP(D:D,Hoja2!A:B,2,FALSE)</f>
        <v>COOPERATIVA DE TRABAJO CAÑAMAR LIMITADA</v>
      </c>
      <c r="F280" t="s">
        <v>29</v>
      </c>
      <c r="G280" t="s">
        <v>18</v>
      </c>
      <c r="H280" t="s">
        <v>550</v>
      </c>
      <c r="I280" t="s">
        <v>552</v>
      </c>
      <c r="J280" s="1">
        <v>2000.03</v>
      </c>
      <c r="K280" s="1">
        <v>2000.03</v>
      </c>
      <c r="L280" t="s">
        <v>24</v>
      </c>
      <c r="M280" t="s">
        <v>553</v>
      </c>
    </row>
    <row r="281" spans="1:13" x14ac:dyDescent="0.25">
      <c r="A281" t="s">
        <v>13</v>
      </c>
      <c r="B281" t="s">
        <v>26</v>
      </c>
      <c r="C281">
        <v>6222</v>
      </c>
      <c r="D281" t="s">
        <v>550</v>
      </c>
      <c r="E281" t="str">
        <f>VLOOKUP(D:D,Hoja2!A:B,2,FALSE)</f>
        <v>COOPERATIVA DE TRABAJO CAÑAMAR LIMITADA</v>
      </c>
      <c r="F281" t="s">
        <v>29</v>
      </c>
      <c r="G281" t="s">
        <v>18</v>
      </c>
      <c r="H281" t="s">
        <v>550</v>
      </c>
      <c r="I281" t="s">
        <v>554</v>
      </c>
      <c r="J281" s="1">
        <v>10000</v>
      </c>
      <c r="K281" s="1">
        <v>12000.03</v>
      </c>
      <c r="L281" t="s">
        <v>24</v>
      </c>
      <c r="M281" t="s">
        <v>555</v>
      </c>
    </row>
    <row r="282" spans="1:13" x14ac:dyDescent="0.25">
      <c r="A282" t="s">
        <v>13</v>
      </c>
      <c r="B282" t="s">
        <v>26</v>
      </c>
      <c r="C282">
        <v>7287</v>
      </c>
      <c r="D282" t="s">
        <v>550</v>
      </c>
      <c r="E282" t="str">
        <f>VLOOKUP(D:D,Hoja2!A:B,2,FALSE)</f>
        <v>COOPERATIVA DE TRABAJO CAÑAMAR LIMITADA</v>
      </c>
      <c r="F282" t="s">
        <v>29</v>
      </c>
      <c r="G282" t="s">
        <v>18</v>
      </c>
      <c r="H282" t="s">
        <v>550</v>
      </c>
      <c r="I282" t="s">
        <v>42</v>
      </c>
      <c r="J282" s="1">
        <v>6193800</v>
      </c>
      <c r="K282" s="1">
        <v>6205800.0300000003</v>
      </c>
      <c r="L282" t="s">
        <v>24</v>
      </c>
      <c r="M282" t="s">
        <v>556</v>
      </c>
    </row>
    <row r="283" spans="1:13" x14ac:dyDescent="0.25">
      <c r="A283" t="s">
        <v>13</v>
      </c>
      <c r="B283" t="s">
        <v>26</v>
      </c>
      <c r="C283">
        <v>4238</v>
      </c>
      <c r="D283" t="s">
        <v>557</v>
      </c>
      <c r="E283" t="str">
        <f>VLOOKUP(D:D,Hoja2!A:B,2,FALSE)</f>
        <v>MARINA PORT SERVICES SRL</v>
      </c>
      <c r="F283" t="s">
        <v>17</v>
      </c>
      <c r="G283" t="s">
        <v>18</v>
      </c>
      <c r="H283" t="s">
        <v>557</v>
      </c>
      <c r="I283" t="s">
        <v>559</v>
      </c>
      <c r="J283" s="1">
        <v>143220</v>
      </c>
      <c r="K283" s="1">
        <v>143220</v>
      </c>
      <c r="L283" t="s">
        <v>24</v>
      </c>
      <c r="M283" t="s">
        <v>560</v>
      </c>
    </row>
    <row r="284" spans="1:13" x14ac:dyDescent="0.25">
      <c r="A284" t="s">
        <v>13</v>
      </c>
      <c r="B284" t="s">
        <v>32</v>
      </c>
      <c r="C284">
        <v>201</v>
      </c>
      <c r="D284" t="s">
        <v>557</v>
      </c>
      <c r="E284" t="str">
        <f>VLOOKUP(D:D,Hoja2!A:B,2,FALSE)</f>
        <v>MARINA PORT SERVICES SRL</v>
      </c>
      <c r="F284" t="s">
        <v>17</v>
      </c>
      <c r="G284" t="s">
        <v>18</v>
      </c>
      <c r="H284" t="s">
        <v>557</v>
      </c>
      <c r="I284" t="s">
        <v>561</v>
      </c>
      <c r="J284" s="1">
        <v>-143220</v>
      </c>
      <c r="K284" s="1">
        <v>0</v>
      </c>
      <c r="L284" t="s">
        <v>24</v>
      </c>
      <c r="M284" t="s">
        <v>562</v>
      </c>
    </row>
    <row r="285" spans="1:13" x14ac:dyDescent="0.25">
      <c r="A285" t="s">
        <v>13</v>
      </c>
      <c r="B285" t="s">
        <v>26</v>
      </c>
      <c r="C285">
        <v>5469</v>
      </c>
      <c r="D285" t="s">
        <v>563</v>
      </c>
      <c r="E285" t="str">
        <f>VLOOKUP(D:D,Hoja2!A:B,2,FALSE)</f>
        <v>DISTRIBUIDORA EL FARO SA</v>
      </c>
      <c r="F285" t="s">
        <v>48</v>
      </c>
      <c r="G285" t="s">
        <v>18</v>
      </c>
      <c r="H285" t="s">
        <v>563</v>
      </c>
      <c r="I285" t="s">
        <v>565</v>
      </c>
      <c r="J285" s="1">
        <v>65340</v>
      </c>
      <c r="K285" s="1">
        <v>65340</v>
      </c>
      <c r="L285" t="s">
        <v>24</v>
      </c>
      <c r="M285" t="s">
        <v>566</v>
      </c>
    </row>
    <row r="286" spans="1:13" x14ac:dyDescent="0.25">
      <c r="A286" t="s">
        <v>13</v>
      </c>
      <c r="B286" t="s">
        <v>26</v>
      </c>
      <c r="C286">
        <v>4431</v>
      </c>
      <c r="D286" t="s">
        <v>567</v>
      </c>
      <c r="E286" t="str">
        <f>VLOOKUP(D:D,Hoja2!A:B,2,FALSE)</f>
        <v>FENIX INTERNATIONAL S A</v>
      </c>
      <c r="F286" t="s">
        <v>29</v>
      </c>
      <c r="G286" t="s">
        <v>18</v>
      </c>
      <c r="H286" t="s">
        <v>567</v>
      </c>
      <c r="I286" t="s">
        <v>569</v>
      </c>
      <c r="J286" s="1">
        <v>7025742.2599999998</v>
      </c>
      <c r="K286" s="1">
        <v>7025742.2599999998</v>
      </c>
      <c r="L286" t="s">
        <v>24</v>
      </c>
      <c r="M286" t="s">
        <v>570</v>
      </c>
    </row>
    <row r="287" spans="1:13" x14ac:dyDescent="0.25">
      <c r="A287" t="s">
        <v>13</v>
      </c>
      <c r="B287" t="s">
        <v>32</v>
      </c>
      <c r="C287">
        <v>207</v>
      </c>
      <c r="D287" t="s">
        <v>567</v>
      </c>
      <c r="E287" t="str">
        <f>VLOOKUP(D:D,Hoja2!A:B,2,FALSE)</f>
        <v>FENIX INTERNATIONAL S A</v>
      </c>
      <c r="F287" t="s">
        <v>29</v>
      </c>
      <c r="G287" t="s">
        <v>18</v>
      </c>
      <c r="H287" t="s">
        <v>567</v>
      </c>
      <c r="I287" t="s">
        <v>571</v>
      </c>
      <c r="J287" s="1">
        <v>-7025742.2599999998</v>
      </c>
      <c r="K287" s="1">
        <v>0</v>
      </c>
      <c r="L287" t="s">
        <v>24</v>
      </c>
      <c r="M287" t="s">
        <v>322</v>
      </c>
    </row>
    <row r="288" spans="1:13" x14ac:dyDescent="0.25">
      <c r="A288" t="s">
        <v>13</v>
      </c>
      <c r="B288" t="s">
        <v>26</v>
      </c>
      <c r="C288">
        <v>5101</v>
      </c>
      <c r="D288" t="s">
        <v>567</v>
      </c>
      <c r="E288" t="str">
        <f>VLOOKUP(D:D,Hoja2!A:B,2,FALSE)</f>
        <v>FENIX INTERNATIONAL S A</v>
      </c>
      <c r="F288" t="s">
        <v>29</v>
      </c>
      <c r="G288" t="s">
        <v>18</v>
      </c>
      <c r="H288" t="s">
        <v>567</v>
      </c>
      <c r="I288" t="s">
        <v>572</v>
      </c>
      <c r="J288" s="1">
        <v>3957772.47</v>
      </c>
      <c r="K288" s="1">
        <v>3957772.47</v>
      </c>
      <c r="L288" t="s">
        <v>24</v>
      </c>
      <c r="M288" t="s">
        <v>573</v>
      </c>
    </row>
    <row r="289" spans="1:15" x14ac:dyDescent="0.25">
      <c r="A289" t="s">
        <v>13</v>
      </c>
      <c r="B289" t="s">
        <v>26</v>
      </c>
      <c r="C289">
        <v>5121</v>
      </c>
      <c r="D289" t="s">
        <v>567</v>
      </c>
      <c r="E289" t="str">
        <f>VLOOKUP(D:D,Hoja2!A:B,2,FALSE)</f>
        <v>FENIX INTERNATIONAL S A</v>
      </c>
      <c r="F289" t="s">
        <v>29</v>
      </c>
      <c r="G289" t="s">
        <v>18</v>
      </c>
      <c r="H289" t="s">
        <v>567</v>
      </c>
      <c r="I289" t="s">
        <v>574</v>
      </c>
      <c r="J289" s="1">
        <v>1349038.44</v>
      </c>
      <c r="K289" s="1">
        <v>5306810.91</v>
      </c>
      <c r="L289" t="s">
        <v>24</v>
      </c>
      <c r="M289" t="s">
        <v>575</v>
      </c>
    </row>
    <row r="290" spans="1:15" x14ac:dyDescent="0.25">
      <c r="A290" t="s">
        <v>13</v>
      </c>
      <c r="B290" t="s">
        <v>32</v>
      </c>
      <c r="C290">
        <v>218</v>
      </c>
      <c r="D290" t="s">
        <v>567</v>
      </c>
      <c r="E290" t="str">
        <f>VLOOKUP(D:D,Hoja2!A:B,2,FALSE)</f>
        <v>FENIX INTERNATIONAL S A</v>
      </c>
      <c r="F290" t="s">
        <v>29</v>
      </c>
      <c r="G290" t="s">
        <v>18</v>
      </c>
      <c r="H290" t="s">
        <v>567</v>
      </c>
      <c r="I290" t="s">
        <v>576</v>
      </c>
      <c r="J290" s="1">
        <v>-3957772.47</v>
      </c>
      <c r="K290" s="1">
        <v>1349038.44</v>
      </c>
      <c r="L290" t="s">
        <v>24</v>
      </c>
      <c r="M290" t="s">
        <v>577</v>
      </c>
    </row>
    <row r="291" spans="1:15" x14ac:dyDescent="0.25">
      <c r="A291" t="s">
        <v>13</v>
      </c>
      <c r="B291" t="s">
        <v>32</v>
      </c>
      <c r="C291">
        <v>219</v>
      </c>
      <c r="D291" t="s">
        <v>567</v>
      </c>
      <c r="E291" t="str">
        <f>VLOOKUP(D:D,Hoja2!A:B,2,FALSE)</f>
        <v>FENIX INTERNATIONAL S A</v>
      </c>
      <c r="F291" t="s">
        <v>29</v>
      </c>
      <c r="G291" t="s">
        <v>18</v>
      </c>
      <c r="H291" t="s">
        <v>567</v>
      </c>
      <c r="I291" t="s">
        <v>576</v>
      </c>
      <c r="J291" s="1">
        <v>-1349038.44</v>
      </c>
      <c r="K291" s="1">
        <v>0</v>
      </c>
      <c r="L291" t="s">
        <v>24</v>
      </c>
      <c r="M291" t="s">
        <v>578</v>
      </c>
    </row>
    <row r="292" spans="1:15" x14ac:dyDescent="0.25">
      <c r="A292" t="s">
        <v>13</v>
      </c>
      <c r="B292" t="s">
        <v>26</v>
      </c>
      <c r="C292">
        <v>6976</v>
      </c>
      <c r="D292" t="s">
        <v>579</v>
      </c>
      <c r="E292" t="str">
        <f>VLOOKUP(D:D,Hoja2!A:B,2,FALSE)</f>
        <v>MC CAIN ARGENTINA S A</v>
      </c>
      <c r="F292" t="s">
        <v>29</v>
      </c>
      <c r="G292" t="s">
        <v>18</v>
      </c>
      <c r="H292" t="s">
        <v>579</v>
      </c>
      <c r="I292" t="s">
        <v>581</v>
      </c>
      <c r="J292" s="1">
        <v>3264312.46</v>
      </c>
      <c r="K292" s="1">
        <v>3264312.46</v>
      </c>
      <c r="L292" t="s">
        <v>24</v>
      </c>
      <c r="M292" t="s">
        <v>582</v>
      </c>
      <c r="O292" s="3">
        <f>+I292+30</f>
        <v>46103</v>
      </c>
    </row>
    <row r="293" spans="1:15" x14ac:dyDescent="0.25">
      <c r="A293" t="s">
        <v>13</v>
      </c>
      <c r="B293" t="s">
        <v>407</v>
      </c>
      <c r="C293">
        <v>186</v>
      </c>
      <c r="D293" t="s">
        <v>579</v>
      </c>
      <c r="E293" t="str">
        <f>VLOOKUP(D:D,Hoja2!A:B,2,FALSE)</f>
        <v>MC CAIN ARGENTINA S A</v>
      </c>
      <c r="F293" t="s">
        <v>29</v>
      </c>
      <c r="G293" t="s">
        <v>18</v>
      </c>
      <c r="H293" t="s">
        <v>579</v>
      </c>
      <c r="I293" t="s">
        <v>583</v>
      </c>
      <c r="J293" s="1">
        <v>9386764.5399999991</v>
      </c>
      <c r="K293" s="1">
        <v>12651077</v>
      </c>
      <c r="L293" t="s">
        <v>411</v>
      </c>
      <c r="M293" t="s">
        <v>584</v>
      </c>
      <c r="O293" s="3">
        <f t="shared" ref="O293:O298" si="0">+I293+30</f>
        <v>46122</v>
      </c>
    </row>
    <row r="294" spans="1:15" x14ac:dyDescent="0.25">
      <c r="A294" t="s">
        <v>13</v>
      </c>
      <c r="B294" t="s">
        <v>407</v>
      </c>
      <c r="C294">
        <v>187</v>
      </c>
      <c r="D294" t="s">
        <v>579</v>
      </c>
      <c r="E294" t="str">
        <f>VLOOKUP(D:D,Hoja2!A:B,2,FALSE)</f>
        <v>MC CAIN ARGENTINA S A</v>
      </c>
      <c r="F294" t="s">
        <v>29</v>
      </c>
      <c r="G294" t="s">
        <v>18</v>
      </c>
      <c r="H294" t="s">
        <v>579</v>
      </c>
      <c r="I294" t="s">
        <v>585</v>
      </c>
      <c r="J294" s="1">
        <v>19861083.699999999</v>
      </c>
      <c r="K294" s="1">
        <v>32512160.699999999</v>
      </c>
      <c r="L294" t="s">
        <v>411</v>
      </c>
      <c r="M294" t="s">
        <v>586</v>
      </c>
      <c r="O294" s="3">
        <f t="shared" si="0"/>
        <v>46137</v>
      </c>
    </row>
    <row r="295" spans="1:15" x14ac:dyDescent="0.25">
      <c r="A295" t="s">
        <v>13</v>
      </c>
      <c r="B295" t="s">
        <v>407</v>
      </c>
      <c r="C295">
        <v>188</v>
      </c>
      <c r="D295" t="s">
        <v>579</v>
      </c>
      <c r="E295" t="str">
        <f>VLOOKUP(D:D,Hoja2!A:B,2,FALSE)</f>
        <v>MC CAIN ARGENTINA S A</v>
      </c>
      <c r="F295" t="s">
        <v>29</v>
      </c>
      <c r="G295" t="s">
        <v>18</v>
      </c>
      <c r="H295" t="s">
        <v>579</v>
      </c>
      <c r="I295" t="s">
        <v>587</v>
      </c>
      <c r="J295" s="1">
        <v>82223864.299999997</v>
      </c>
      <c r="K295" s="1">
        <v>114736025</v>
      </c>
      <c r="L295" t="s">
        <v>411</v>
      </c>
      <c r="M295" t="s">
        <v>588</v>
      </c>
      <c r="O295" s="2">
        <f t="shared" si="0"/>
        <v>46152</v>
      </c>
    </row>
    <row r="296" spans="1:15" x14ac:dyDescent="0.25">
      <c r="A296" t="s">
        <v>13</v>
      </c>
      <c r="B296" t="s">
        <v>407</v>
      </c>
      <c r="C296">
        <v>189</v>
      </c>
      <c r="D296" t="s">
        <v>579</v>
      </c>
      <c r="E296" t="str">
        <f>VLOOKUP(D:D,Hoja2!A:B,2,FALSE)</f>
        <v>MC CAIN ARGENTINA S A</v>
      </c>
      <c r="F296" t="s">
        <v>29</v>
      </c>
      <c r="G296" t="s">
        <v>18</v>
      </c>
      <c r="H296" t="s">
        <v>579</v>
      </c>
      <c r="I296" t="s">
        <v>589</v>
      </c>
      <c r="J296" s="1">
        <v>86616765.790000007</v>
      </c>
      <c r="K296" s="1">
        <v>201352790.78999999</v>
      </c>
      <c r="L296" t="s">
        <v>411</v>
      </c>
      <c r="M296" t="s">
        <v>590</v>
      </c>
      <c r="O296" s="2">
        <f t="shared" si="0"/>
        <v>46165</v>
      </c>
    </row>
    <row r="297" spans="1:15" x14ac:dyDescent="0.25">
      <c r="A297" t="s">
        <v>13</v>
      </c>
      <c r="B297" t="s">
        <v>413</v>
      </c>
      <c r="C297">
        <v>12</v>
      </c>
      <c r="D297" t="s">
        <v>579</v>
      </c>
      <c r="E297" t="str">
        <f>VLOOKUP(D:D,Hoja2!A:B,2,FALSE)</f>
        <v>MC CAIN ARGENTINA S A</v>
      </c>
      <c r="F297" t="s">
        <v>29</v>
      </c>
      <c r="G297" t="s">
        <v>18</v>
      </c>
      <c r="H297" t="s">
        <v>579</v>
      </c>
      <c r="I297" t="s">
        <v>591</v>
      </c>
      <c r="J297" s="1">
        <v>-8023448.6100000003</v>
      </c>
      <c r="K297" s="1">
        <v>193329342.18000001</v>
      </c>
      <c r="L297" t="s">
        <v>411</v>
      </c>
      <c r="M297" t="s">
        <v>592</v>
      </c>
      <c r="O297" s="2">
        <f t="shared" si="0"/>
        <v>46169</v>
      </c>
    </row>
    <row r="298" spans="1:15" x14ac:dyDescent="0.25">
      <c r="A298" t="s">
        <v>13</v>
      </c>
      <c r="B298" t="s">
        <v>413</v>
      </c>
      <c r="C298">
        <v>13</v>
      </c>
      <c r="D298" t="s">
        <v>579</v>
      </c>
      <c r="E298" t="str">
        <f>VLOOKUP(D:D,Hoja2!A:B,2,FALSE)</f>
        <v>MC CAIN ARGENTINA S A</v>
      </c>
      <c r="F298" t="s">
        <v>29</v>
      </c>
      <c r="G298" t="s">
        <v>18</v>
      </c>
      <c r="H298" t="s">
        <v>579</v>
      </c>
      <c r="I298" t="s">
        <v>591</v>
      </c>
      <c r="J298" s="1">
        <v>-8474183.75</v>
      </c>
      <c r="K298" s="1">
        <v>184855158.43000001</v>
      </c>
      <c r="L298" t="s">
        <v>411</v>
      </c>
      <c r="M298" t="s">
        <v>593</v>
      </c>
      <c r="O298" s="2">
        <f t="shared" si="0"/>
        <v>46169</v>
      </c>
    </row>
    <row r="299" spans="1:15" x14ac:dyDescent="0.25">
      <c r="A299" t="s">
        <v>13</v>
      </c>
      <c r="B299" t="s">
        <v>26</v>
      </c>
      <c r="C299">
        <v>7195</v>
      </c>
      <c r="D299" t="s">
        <v>594</v>
      </c>
      <c r="E299" t="str">
        <f>VLOOKUP(D:D,Hoja2!A:B,2,FALSE)</f>
        <v>GUBITI SA</v>
      </c>
      <c r="F299" t="s">
        <v>29</v>
      </c>
      <c r="G299" t="s">
        <v>18</v>
      </c>
      <c r="H299" t="s">
        <v>594</v>
      </c>
      <c r="I299" t="s">
        <v>256</v>
      </c>
      <c r="J299" s="1">
        <v>8035200</v>
      </c>
      <c r="K299" s="1">
        <v>8035200</v>
      </c>
      <c r="L299" t="s">
        <v>24</v>
      </c>
      <c r="M299" t="s">
        <v>596</v>
      </c>
    </row>
    <row r="300" spans="1:15" x14ac:dyDescent="0.25">
      <c r="A300" t="s">
        <v>13</v>
      </c>
      <c r="B300" t="s">
        <v>26</v>
      </c>
      <c r="C300">
        <v>7217</v>
      </c>
      <c r="D300" t="s">
        <v>594</v>
      </c>
      <c r="E300" t="str">
        <f>VLOOKUP(D:D,Hoja2!A:B,2,FALSE)</f>
        <v>GUBITI SA</v>
      </c>
      <c r="F300" t="s">
        <v>29</v>
      </c>
      <c r="G300" t="s">
        <v>18</v>
      </c>
      <c r="H300" t="s">
        <v>594</v>
      </c>
      <c r="I300" t="s">
        <v>36</v>
      </c>
      <c r="J300" s="1">
        <v>8035200</v>
      </c>
      <c r="K300" s="1">
        <v>16070400</v>
      </c>
      <c r="L300" t="s">
        <v>24</v>
      </c>
      <c r="M300" t="s">
        <v>597</v>
      </c>
    </row>
    <row r="301" spans="1:15" x14ac:dyDescent="0.25">
      <c r="A301" t="s">
        <v>13</v>
      </c>
      <c r="B301" t="s">
        <v>26</v>
      </c>
      <c r="C301">
        <v>7233</v>
      </c>
      <c r="D301" t="s">
        <v>594</v>
      </c>
      <c r="E301" t="str">
        <f>VLOOKUP(D:D,Hoja2!A:B,2,FALSE)</f>
        <v>GUBITI SA</v>
      </c>
      <c r="F301" t="s">
        <v>29</v>
      </c>
      <c r="G301" t="s">
        <v>18</v>
      </c>
      <c r="H301" t="s">
        <v>594</v>
      </c>
      <c r="I301" t="s">
        <v>38</v>
      </c>
      <c r="J301" s="1">
        <v>7812000</v>
      </c>
      <c r="K301" s="1">
        <v>23882400</v>
      </c>
      <c r="L301" t="s">
        <v>24</v>
      </c>
      <c r="M301" t="s">
        <v>598</v>
      </c>
    </row>
    <row r="302" spans="1:15" x14ac:dyDescent="0.25">
      <c r="A302" t="s">
        <v>13</v>
      </c>
      <c r="B302" t="s">
        <v>26</v>
      </c>
      <c r="C302">
        <v>6385</v>
      </c>
      <c r="D302" t="s">
        <v>599</v>
      </c>
      <c r="E302" t="str">
        <f>VLOOKUP(D:D,Hoja2!A:B,2,FALSE)</f>
        <v>PAMPA FISH SA</v>
      </c>
      <c r="F302" t="s">
        <v>20</v>
      </c>
      <c r="G302" t="s">
        <v>18</v>
      </c>
      <c r="H302" t="s">
        <v>599</v>
      </c>
      <c r="I302" t="s">
        <v>600</v>
      </c>
      <c r="J302" s="1">
        <v>6247500</v>
      </c>
      <c r="K302" s="1">
        <v>6247500</v>
      </c>
      <c r="L302" t="s">
        <v>24</v>
      </c>
      <c r="M302" t="s">
        <v>601</v>
      </c>
    </row>
    <row r="303" spans="1:15" x14ac:dyDescent="0.25">
      <c r="A303" t="s">
        <v>13</v>
      </c>
      <c r="B303" t="s">
        <v>26</v>
      </c>
      <c r="C303">
        <v>6401</v>
      </c>
      <c r="D303" t="s">
        <v>599</v>
      </c>
      <c r="E303" t="str">
        <f>VLOOKUP(D:D,Hoja2!A:B,2,FALSE)</f>
        <v>PAMPA FISH SA</v>
      </c>
      <c r="F303" t="s">
        <v>20</v>
      </c>
      <c r="G303" t="s">
        <v>18</v>
      </c>
      <c r="H303" t="s">
        <v>599</v>
      </c>
      <c r="I303" t="s">
        <v>169</v>
      </c>
      <c r="J303" s="1">
        <v>6615000</v>
      </c>
      <c r="K303" s="1">
        <v>12862500</v>
      </c>
      <c r="L303" t="s">
        <v>24</v>
      </c>
      <c r="M303" t="s">
        <v>602</v>
      </c>
    </row>
    <row r="304" spans="1:15" x14ac:dyDescent="0.25">
      <c r="A304" t="s">
        <v>13</v>
      </c>
      <c r="B304" t="s">
        <v>32</v>
      </c>
      <c r="C304">
        <v>247</v>
      </c>
      <c r="D304" t="s">
        <v>599</v>
      </c>
      <c r="E304" t="str">
        <f>VLOOKUP(D:D,Hoja2!A:B,2,FALSE)</f>
        <v>PAMPA FISH SA</v>
      </c>
      <c r="F304" t="s">
        <v>20</v>
      </c>
      <c r="G304" t="s">
        <v>18</v>
      </c>
      <c r="H304" t="s">
        <v>599</v>
      </c>
      <c r="I304" t="s">
        <v>603</v>
      </c>
      <c r="J304" s="1">
        <v>-6247500</v>
      </c>
      <c r="K304" s="1">
        <v>6615000</v>
      </c>
      <c r="L304" t="s">
        <v>24</v>
      </c>
      <c r="M304" t="s">
        <v>604</v>
      </c>
    </row>
    <row r="305" spans="1:13" x14ac:dyDescent="0.25">
      <c r="A305" t="s">
        <v>13</v>
      </c>
      <c r="B305" t="s">
        <v>32</v>
      </c>
      <c r="C305">
        <v>248</v>
      </c>
      <c r="D305" t="s">
        <v>599</v>
      </c>
      <c r="E305" t="str">
        <f>VLOOKUP(D:D,Hoja2!A:B,2,FALSE)</f>
        <v>PAMPA FISH SA</v>
      </c>
      <c r="F305" t="s">
        <v>20</v>
      </c>
      <c r="G305" t="s">
        <v>18</v>
      </c>
      <c r="H305" t="s">
        <v>599</v>
      </c>
      <c r="I305" t="s">
        <v>603</v>
      </c>
      <c r="J305" s="1">
        <v>-6615000</v>
      </c>
      <c r="K305" s="1">
        <v>0</v>
      </c>
      <c r="L305" t="s">
        <v>24</v>
      </c>
      <c r="M305" t="s">
        <v>605</v>
      </c>
    </row>
    <row r="306" spans="1:13" x14ac:dyDescent="0.25">
      <c r="A306" t="s">
        <v>13</v>
      </c>
      <c r="B306" t="s">
        <v>26</v>
      </c>
      <c r="C306">
        <v>6455</v>
      </c>
      <c r="D306" t="s">
        <v>599</v>
      </c>
      <c r="E306" t="str">
        <f>VLOOKUP(D:D,Hoja2!A:B,2,FALSE)</f>
        <v>PAMPA FISH SA</v>
      </c>
      <c r="F306" t="s">
        <v>20</v>
      </c>
      <c r="G306" t="s">
        <v>18</v>
      </c>
      <c r="H306" t="s">
        <v>599</v>
      </c>
      <c r="I306" t="s">
        <v>606</v>
      </c>
      <c r="J306" s="1">
        <v>6984640</v>
      </c>
      <c r="K306" s="1">
        <v>6984640</v>
      </c>
      <c r="L306" t="s">
        <v>24</v>
      </c>
      <c r="M306" t="s">
        <v>607</v>
      </c>
    </row>
    <row r="307" spans="1:13" x14ac:dyDescent="0.25">
      <c r="A307" t="s">
        <v>13</v>
      </c>
      <c r="B307" t="s">
        <v>26</v>
      </c>
      <c r="C307">
        <v>6567</v>
      </c>
      <c r="D307" t="s">
        <v>599</v>
      </c>
      <c r="E307" t="str">
        <f>VLOOKUP(D:D,Hoja2!A:B,2,FALSE)</f>
        <v>PAMPA FISH SA</v>
      </c>
      <c r="F307" t="s">
        <v>20</v>
      </c>
      <c r="G307" t="s">
        <v>18</v>
      </c>
      <c r="H307" t="s">
        <v>599</v>
      </c>
      <c r="I307" t="s">
        <v>608</v>
      </c>
      <c r="J307" s="1">
        <v>12874940</v>
      </c>
      <c r="K307" s="1">
        <v>19859580</v>
      </c>
      <c r="L307" t="s">
        <v>24</v>
      </c>
      <c r="M307" t="s">
        <v>609</v>
      </c>
    </row>
    <row r="308" spans="1:13" x14ac:dyDescent="0.25">
      <c r="A308" t="s">
        <v>13</v>
      </c>
      <c r="B308" t="s">
        <v>26</v>
      </c>
      <c r="C308">
        <v>6023</v>
      </c>
      <c r="D308" t="s">
        <v>610</v>
      </c>
      <c r="E308" t="str">
        <f>VLOOKUP(D:D,Hoja2!A:B,2,FALSE)</f>
        <v>FRAN.CRES.MAR. S.A.</v>
      </c>
      <c r="F308" t="s">
        <v>20</v>
      </c>
      <c r="G308" t="s">
        <v>18</v>
      </c>
      <c r="H308" t="s">
        <v>610</v>
      </c>
      <c r="I308" t="s">
        <v>222</v>
      </c>
      <c r="J308" s="1">
        <v>1000</v>
      </c>
      <c r="K308" s="1">
        <v>1000</v>
      </c>
      <c r="L308" t="s">
        <v>24</v>
      </c>
      <c r="M308" t="s">
        <v>611</v>
      </c>
    </row>
    <row r="309" spans="1:13" x14ac:dyDescent="0.25">
      <c r="A309" t="s">
        <v>13</v>
      </c>
      <c r="B309" t="s">
        <v>26</v>
      </c>
      <c r="C309">
        <v>6131</v>
      </c>
      <c r="D309" t="s">
        <v>610</v>
      </c>
      <c r="E309" t="str">
        <f>VLOOKUP(D:D,Hoja2!A:B,2,FALSE)</f>
        <v>FRAN.CRES.MAR. S.A.</v>
      </c>
      <c r="F309" t="s">
        <v>20</v>
      </c>
      <c r="G309" t="s">
        <v>18</v>
      </c>
      <c r="H309" t="s">
        <v>610</v>
      </c>
      <c r="I309" t="s">
        <v>224</v>
      </c>
      <c r="J309" s="1">
        <v>8486250</v>
      </c>
      <c r="K309" s="1">
        <v>8487250</v>
      </c>
      <c r="L309" t="s">
        <v>24</v>
      </c>
      <c r="M309" t="s">
        <v>612</v>
      </c>
    </row>
    <row r="310" spans="1:13" x14ac:dyDescent="0.25">
      <c r="A310" t="s">
        <v>13</v>
      </c>
      <c r="B310" t="s">
        <v>32</v>
      </c>
      <c r="C310">
        <v>237</v>
      </c>
      <c r="D310" t="s">
        <v>610</v>
      </c>
      <c r="E310" t="str">
        <f>VLOOKUP(D:D,Hoja2!A:B,2,FALSE)</f>
        <v>FRAN.CRES.MAR. S.A.</v>
      </c>
      <c r="F310" t="s">
        <v>20</v>
      </c>
      <c r="G310" t="s">
        <v>18</v>
      </c>
      <c r="H310" t="s">
        <v>610</v>
      </c>
      <c r="I310" t="s">
        <v>226</v>
      </c>
      <c r="J310" s="1">
        <v>-8486250</v>
      </c>
      <c r="K310" s="1">
        <v>1000</v>
      </c>
      <c r="L310" t="s">
        <v>24</v>
      </c>
      <c r="M310" t="s">
        <v>613</v>
      </c>
    </row>
    <row r="311" spans="1:13" x14ac:dyDescent="0.25">
      <c r="A311" t="s">
        <v>13</v>
      </c>
      <c r="B311" t="s">
        <v>26</v>
      </c>
      <c r="C311">
        <v>6315</v>
      </c>
      <c r="D311" t="s">
        <v>610</v>
      </c>
      <c r="E311" t="str">
        <f>VLOOKUP(D:D,Hoja2!A:B,2,FALSE)</f>
        <v>FRAN.CRES.MAR. S.A.</v>
      </c>
      <c r="F311" t="s">
        <v>20</v>
      </c>
      <c r="G311" t="s">
        <v>18</v>
      </c>
      <c r="H311" t="s">
        <v>610</v>
      </c>
      <c r="I311" t="s">
        <v>614</v>
      </c>
      <c r="J311" s="1">
        <v>40000</v>
      </c>
      <c r="K311" s="1">
        <v>41000</v>
      </c>
      <c r="L311" t="s">
        <v>24</v>
      </c>
      <c r="M311" t="s">
        <v>615</v>
      </c>
    </row>
    <row r="312" spans="1:13" x14ac:dyDescent="0.25">
      <c r="A312" t="s">
        <v>13</v>
      </c>
      <c r="B312" t="s">
        <v>26</v>
      </c>
      <c r="C312">
        <v>6367</v>
      </c>
      <c r="D312" t="s">
        <v>610</v>
      </c>
      <c r="E312" t="str">
        <f>VLOOKUP(D:D,Hoja2!A:B,2,FALSE)</f>
        <v>FRAN.CRES.MAR. S.A.</v>
      </c>
      <c r="F312" t="s">
        <v>20</v>
      </c>
      <c r="G312" t="s">
        <v>18</v>
      </c>
      <c r="H312" t="s">
        <v>610</v>
      </c>
      <c r="I312" t="s">
        <v>616</v>
      </c>
      <c r="J312" s="1">
        <v>14086400</v>
      </c>
      <c r="K312" s="1">
        <v>14127400</v>
      </c>
      <c r="L312" t="s">
        <v>24</v>
      </c>
      <c r="M312" t="s">
        <v>617</v>
      </c>
    </row>
    <row r="313" spans="1:13" x14ac:dyDescent="0.25">
      <c r="A313" t="s">
        <v>13</v>
      </c>
      <c r="B313" t="s">
        <v>26</v>
      </c>
      <c r="C313">
        <v>6368</v>
      </c>
      <c r="D313" t="s">
        <v>610</v>
      </c>
      <c r="E313" t="str">
        <f>VLOOKUP(D:D,Hoja2!A:B,2,FALSE)</f>
        <v>FRAN.CRES.MAR. S.A.</v>
      </c>
      <c r="F313" t="s">
        <v>20</v>
      </c>
      <c r="G313" t="s">
        <v>18</v>
      </c>
      <c r="H313" t="s">
        <v>610</v>
      </c>
      <c r="I313" t="s">
        <v>616</v>
      </c>
      <c r="J313" s="1">
        <v>14483200</v>
      </c>
      <c r="K313" s="1">
        <v>28610600</v>
      </c>
      <c r="L313" t="s">
        <v>24</v>
      </c>
      <c r="M313" t="s">
        <v>618</v>
      </c>
    </row>
    <row r="314" spans="1:13" x14ac:dyDescent="0.25">
      <c r="A314" t="s">
        <v>13</v>
      </c>
      <c r="B314" t="s">
        <v>26</v>
      </c>
      <c r="C314">
        <v>6369</v>
      </c>
      <c r="D314" t="s">
        <v>610</v>
      </c>
      <c r="E314" t="str">
        <f>VLOOKUP(D:D,Hoja2!A:B,2,FALSE)</f>
        <v>FRAN.CRES.MAR. S.A.</v>
      </c>
      <c r="F314" t="s">
        <v>20</v>
      </c>
      <c r="G314" t="s">
        <v>18</v>
      </c>
      <c r="H314" t="s">
        <v>610</v>
      </c>
      <c r="I314" t="s">
        <v>616</v>
      </c>
      <c r="J314" s="1">
        <v>10044000</v>
      </c>
      <c r="K314" s="1">
        <v>38654600</v>
      </c>
      <c r="L314" t="s">
        <v>24</v>
      </c>
      <c r="M314" t="s">
        <v>619</v>
      </c>
    </row>
    <row r="315" spans="1:13" x14ac:dyDescent="0.25">
      <c r="A315" t="s">
        <v>13</v>
      </c>
      <c r="B315" t="s">
        <v>26</v>
      </c>
      <c r="C315">
        <v>6370</v>
      </c>
      <c r="D315" t="s">
        <v>610</v>
      </c>
      <c r="E315" t="str">
        <f>VLOOKUP(D:D,Hoja2!A:B,2,FALSE)</f>
        <v>FRAN.CRES.MAR. S.A.</v>
      </c>
      <c r="F315" t="s">
        <v>20</v>
      </c>
      <c r="G315" t="s">
        <v>18</v>
      </c>
      <c r="H315" t="s">
        <v>610</v>
      </c>
      <c r="I315" t="s">
        <v>620</v>
      </c>
      <c r="J315" s="1">
        <v>46523330</v>
      </c>
      <c r="K315" s="1">
        <v>85177930</v>
      </c>
      <c r="L315" t="s">
        <v>24</v>
      </c>
      <c r="M315" t="s">
        <v>621</v>
      </c>
    </row>
    <row r="316" spans="1:13" x14ac:dyDescent="0.25">
      <c r="A316" t="s">
        <v>13</v>
      </c>
      <c r="B316" t="s">
        <v>26</v>
      </c>
      <c r="C316">
        <v>6372</v>
      </c>
      <c r="D316" t="s">
        <v>610</v>
      </c>
      <c r="E316" t="str">
        <f>VLOOKUP(D:D,Hoja2!A:B,2,FALSE)</f>
        <v>FRAN.CRES.MAR. S.A.</v>
      </c>
      <c r="F316" t="s">
        <v>20</v>
      </c>
      <c r="G316" t="s">
        <v>18</v>
      </c>
      <c r="H316" t="s">
        <v>610</v>
      </c>
      <c r="I316" t="s">
        <v>600</v>
      </c>
      <c r="J316" s="1">
        <v>9625500</v>
      </c>
      <c r="K316" s="1">
        <v>94803430</v>
      </c>
      <c r="L316" t="s">
        <v>24</v>
      </c>
      <c r="M316" t="s">
        <v>622</v>
      </c>
    </row>
    <row r="317" spans="1:13" x14ac:dyDescent="0.25">
      <c r="A317" t="s">
        <v>13</v>
      </c>
      <c r="B317" t="s">
        <v>26</v>
      </c>
      <c r="C317">
        <v>6454</v>
      </c>
      <c r="D317" t="s">
        <v>610</v>
      </c>
      <c r="E317" t="str">
        <f>VLOOKUP(D:D,Hoja2!A:B,2,FALSE)</f>
        <v>FRAN.CRES.MAR. S.A.</v>
      </c>
      <c r="F317" t="s">
        <v>20</v>
      </c>
      <c r="G317" t="s">
        <v>18</v>
      </c>
      <c r="H317" t="s">
        <v>610</v>
      </c>
      <c r="I317" t="s">
        <v>623</v>
      </c>
      <c r="J317" s="1">
        <v>62646031.119999997</v>
      </c>
      <c r="K317" s="1">
        <v>157449461.12</v>
      </c>
      <c r="L317" t="s">
        <v>24</v>
      </c>
      <c r="M317" t="s">
        <v>624</v>
      </c>
    </row>
    <row r="318" spans="1:13" x14ac:dyDescent="0.25">
      <c r="A318" t="s">
        <v>13</v>
      </c>
      <c r="B318" t="s">
        <v>26</v>
      </c>
      <c r="C318">
        <v>6522</v>
      </c>
      <c r="D318" t="s">
        <v>610</v>
      </c>
      <c r="E318" t="str">
        <f>VLOOKUP(D:D,Hoja2!A:B,2,FALSE)</f>
        <v>FRAN.CRES.MAR. S.A.</v>
      </c>
      <c r="F318" t="s">
        <v>20</v>
      </c>
      <c r="G318" t="s">
        <v>18</v>
      </c>
      <c r="H318" t="s">
        <v>610</v>
      </c>
      <c r="I318" t="s">
        <v>625</v>
      </c>
      <c r="J318" s="1">
        <v>1243250</v>
      </c>
      <c r="K318" s="1">
        <v>158692711.12</v>
      </c>
      <c r="L318" t="s">
        <v>24</v>
      </c>
      <c r="M318" t="s">
        <v>626</v>
      </c>
    </row>
    <row r="319" spans="1:13" x14ac:dyDescent="0.25">
      <c r="A319" t="s">
        <v>13</v>
      </c>
      <c r="B319" t="s">
        <v>26</v>
      </c>
      <c r="C319">
        <v>6568</v>
      </c>
      <c r="D319" t="s">
        <v>610</v>
      </c>
      <c r="E319" t="str">
        <f>VLOOKUP(D:D,Hoja2!A:B,2,FALSE)</f>
        <v>FRAN.CRES.MAR. S.A.</v>
      </c>
      <c r="F319" t="s">
        <v>20</v>
      </c>
      <c r="G319" t="s">
        <v>18</v>
      </c>
      <c r="H319" t="s">
        <v>610</v>
      </c>
      <c r="I319" t="s">
        <v>627</v>
      </c>
      <c r="J319" s="1">
        <v>38166937.5</v>
      </c>
      <c r="K319" s="1">
        <v>196859648.62</v>
      </c>
      <c r="L319" t="s">
        <v>24</v>
      </c>
      <c r="M319" t="s">
        <v>628</v>
      </c>
    </row>
    <row r="320" spans="1:13" x14ac:dyDescent="0.25">
      <c r="A320" t="s">
        <v>13</v>
      </c>
      <c r="B320" t="s">
        <v>14</v>
      </c>
      <c r="C320">
        <v>9155</v>
      </c>
      <c r="D320" t="s">
        <v>629</v>
      </c>
      <c r="E320" t="str">
        <f>VLOOKUP(D:D,Hoja2!A:B,2,FALSE)</f>
        <v>ALIMENPES SA</v>
      </c>
      <c r="F320" t="s">
        <v>29</v>
      </c>
      <c r="G320" t="s">
        <v>18</v>
      </c>
      <c r="H320" t="s">
        <v>629</v>
      </c>
      <c r="I320" t="s">
        <v>631</v>
      </c>
      <c r="J320" s="1">
        <v>-100</v>
      </c>
      <c r="K320" s="1">
        <v>-100</v>
      </c>
      <c r="L320" t="s">
        <v>20</v>
      </c>
      <c r="M320" t="s">
        <v>632</v>
      </c>
    </row>
    <row r="321" spans="1:13" x14ac:dyDescent="0.25">
      <c r="A321" t="s">
        <v>13</v>
      </c>
      <c r="B321" t="s">
        <v>14</v>
      </c>
      <c r="C321">
        <v>9219</v>
      </c>
      <c r="D321" t="s">
        <v>629</v>
      </c>
      <c r="E321" t="str">
        <f>VLOOKUP(D:D,Hoja2!A:B,2,FALSE)</f>
        <v>ALIMENPES SA</v>
      </c>
      <c r="F321" t="s">
        <v>29</v>
      </c>
      <c r="G321" t="s">
        <v>18</v>
      </c>
      <c r="H321" t="s">
        <v>629</v>
      </c>
      <c r="I321" t="s">
        <v>633</v>
      </c>
      <c r="J321" s="1">
        <v>-33</v>
      </c>
      <c r="K321" s="1">
        <v>-133</v>
      </c>
      <c r="L321" t="s">
        <v>20</v>
      </c>
      <c r="M321" t="s">
        <v>634</v>
      </c>
    </row>
    <row r="322" spans="1:13" x14ac:dyDescent="0.25">
      <c r="A322" t="s">
        <v>13</v>
      </c>
      <c r="B322" t="s">
        <v>635</v>
      </c>
      <c r="C322">
        <v>80</v>
      </c>
      <c r="D322" t="s">
        <v>636</v>
      </c>
      <c r="E322" t="str">
        <f>VLOOKUP(D:D,Hoja2!A:B,2,FALSE)</f>
        <v>Natalia Emilse Colaizzo</v>
      </c>
      <c r="F322" t="s">
        <v>20</v>
      </c>
      <c r="G322" t="s">
        <v>18</v>
      </c>
      <c r="H322" t="s">
        <v>636</v>
      </c>
      <c r="I322" t="s">
        <v>637</v>
      </c>
      <c r="J322" s="1">
        <v>2490908.0299999998</v>
      </c>
      <c r="K322" s="1">
        <v>2490908.0299999998</v>
      </c>
      <c r="L322" t="s">
        <v>24</v>
      </c>
      <c r="M322" t="s">
        <v>638</v>
      </c>
    </row>
    <row r="323" spans="1:13" x14ac:dyDescent="0.25">
      <c r="A323" t="s">
        <v>13</v>
      </c>
      <c r="B323" t="s">
        <v>26</v>
      </c>
      <c r="C323">
        <v>6659</v>
      </c>
      <c r="D323" t="s">
        <v>639</v>
      </c>
      <c r="E323" t="str">
        <f>VLOOKUP(D:D,Hoja2!A:B,2,FALSE)</f>
        <v>INDUSTRIAS EL CORSARIO S.A.</v>
      </c>
      <c r="F323" t="s">
        <v>29</v>
      </c>
      <c r="G323" t="s">
        <v>18</v>
      </c>
      <c r="H323" t="s">
        <v>639</v>
      </c>
      <c r="I323" t="s">
        <v>641</v>
      </c>
      <c r="J323" s="1">
        <v>696960</v>
      </c>
      <c r="K323" s="1">
        <v>696960</v>
      </c>
      <c r="L323" t="s">
        <v>24</v>
      </c>
      <c r="M323" t="s">
        <v>642</v>
      </c>
    </row>
    <row r="324" spans="1:13" x14ac:dyDescent="0.25">
      <c r="A324" t="s">
        <v>13</v>
      </c>
      <c r="B324" t="s">
        <v>32</v>
      </c>
      <c r="C324">
        <v>256</v>
      </c>
      <c r="D324" t="s">
        <v>639</v>
      </c>
      <c r="E324" t="str">
        <f>VLOOKUP(D:D,Hoja2!A:B,2,FALSE)</f>
        <v>INDUSTRIAS EL CORSARIO S.A.</v>
      </c>
      <c r="F324" t="s">
        <v>29</v>
      </c>
      <c r="G324" t="s">
        <v>18</v>
      </c>
      <c r="H324" t="s">
        <v>639</v>
      </c>
      <c r="I324" t="s">
        <v>641</v>
      </c>
      <c r="J324" s="1">
        <v>-696960</v>
      </c>
      <c r="K324" s="1">
        <v>0</v>
      </c>
      <c r="L324" t="s">
        <v>24</v>
      </c>
      <c r="M324" t="s">
        <v>643</v>
      </c>
    </row>
    <row r="325" spans="1:13" x14ac:dyDescent="0.25">
      <c r="A325" t="s">
        <v>13</v>
      </c>
      <c r="B325" t="s">
        <v>26</v>
      </c>
      <c r="C325">
        <v>6790</v>
      </c>
      <c r="D325" t="s">
        <v>644</v>
      </c>
      <c r="E325" t="str">
        <f>VLOOKUP(D:D,Hoja2!A:B,2,FALSE)</f>
        <v>FERNANDEZ CARLOS LEONARDO</v>
      </c>
      <c r="F325" t="s">
        <v>105</v>
      </c>
      <c r="G325" t="s">
        <v>18</v>
      </c>
      <c r="H325" t="s">
        <v>644</v>
      </c>
      <c r="I325" t="s">
        <v>646</v>
      </c>
      <c r="J325" s="1">
        <v>17577000</v>
      </c>
      <c r="K325" s="1">
        <v>17577000</v>
      </c>
      <c r="L325" t="s">
        <v>24</v>
      </c>
      <c r="M325" t="s">
        <v>647</v>
      </c>
    </row>
    <row r="326" spans="1:13" x14ac:dyDescent="0.25">
      <c r="A326" t="s">
        <v>13</v>
      </c>
      <c r="B326" t="s">
        <v>32</v>
      </c>
      <c r="C326">
        <v>260</v>
      </c>
      <c r="D326" t="s">
        <v>644</v>
      </c>
      <c r="E326" t="str">
        <f>VLOOKUP(D:D,Hoja2!A:B,2,FALSE)</f>
        <v>FERNANDEZ CARLOS LEONARDO</v>
      </c>
      <c r="F326" t="s">
        <v>105</v>
      </c>
      <c r="G326" t="s">
        <v>18</v>
      </c>
      <c r="H326" t="s">
        <v>644</v>
      </c>
      <c r="I326" t="s">
        <v>648</v>
      </c>
      <c r="J326" s="1">
        <v>-17577000</v>
      </c>
      <c r="K326" s="1">
        <v>0</v>
      </c>
      <c r="L326" t="s">
        <v>24</v>
      </c>
      <c r="M326" t="s">
        <v>649</v>
      </c>
    </row>
    <row r="327" spans="1:13" x14ac:dyDescent="0.25">
      <c r="A327" t="s">
        <v>13</v>
      </c>
      <c r="B327" t="s">
        <v>26</v>
      </c>
      <c r="C327">
        <v>6611</v>
      </c>
      <c r="D327" t="s">
        <v>650</v>
      </c>
      <c r="E327" t="str">
        <f>VLOOKUP(D:D,Hoja2!A:B,2,FALSE)</f>
        <v>DUBAR BRUNO CLAUDIO</v>
      </c>
      <c r="F327" t="s">
        <v>29</v>
      </c>
      <c r="G327" t="s">
        <v>18</v>
      </c>
      <c r="H327" t="s">
        <v>650</v>
      </c>
      <c r="I327" t="s">
        <v>652</v>
      </c>
      <c r="J327" s="1">
        <v>1081400</v>
      </c>
      <c r="K327" s="1">
        <v>1081400</v>
      </c>
      <c r="L327" t="s">
        <v>24</v>
      </c>
      <c r="M327" t="s">
        <v>653</v>
      </c>
    </row>
    <row r="328" spans="1:13" x14ac:dyDescent="0.25">
      <c r="A328" t="s">
        <v>13</v>
      </c>
      <c r="B328" t="s">
        <v>26</v>
      </c>
      <c r="C328">
        <v>6625</v>
      </c>
      <c r="D328" t="s">
        <v>650</v>
      </c>
      <c r="E328" t="str">
        <f>VLOOKUP(D:D,Hoja2!A:B,2,FALSE)</f>
        <v>DUBAR BRUNO CLAUDIO</v>
      </c>
      <c r="F328" t="s">
        <v>29</v>
      </c>
      <c r="G328" t="s">
        <v>18</v>
      </c>
      <c r="H328" t="s">
        <v>650</v>
      </c>
      <c r="I328" t="s">
        <v>654</v>
      </c>
      <c r="J328" s="1">
        <v>2951200</v>
      </c>
      <c r="K328" s="1">
        <v>4032600</v>
      </c>
      <c r="L328" t="s">
        <v>24</v>
      </c>
      <c r="M328" t="s">
        <v>655</v>
      </c>
    </row>
    <row r="329" spans="1:13" x14ac:dyDescent="0.25">
      <c r="A329" t="s">
        <v>13</v>
      </c>
      <c r="B329" t="s">
        <v>26</v>
      </c>
      <c r="C329">
        <v>6161</v>
      </c>
      <c r="D329" t="s">
        <v>656</v>
      </c>
      <c r="E329" t="str">
        <f>VLOOKUP(D:D,Hoja2!A:B,2,FALSE)</f>
        <v>COOPERATIVA FORTALEZA LIMITADA</v>
      </c>
      <c r="F329" t="s">
        <v>29</v>
      </c>
      <c r="G329" t="s">
        <v>18</v>
      </c>
      <c r="H329" t="s">
        <v>656</v>
      </c>
      <c r="I329" t="s">
        <v>658</v>
      </c>
      <c r="J329" s="1">
        <v>4319.53</v>
      </c>
      <c r="K329" s="1">
        <v>4319.53</v>
      </c>
      <c r="L329" t="s">
        <v>24</v>
      </c>
      <c r="M329" t="s">
        <v>659</v>
      </c>
    </row>
    <row r="330" spans="1:13" x14ac:dyDescent="0.25">
      <c r="A330" t="s">
        <v>13</v>
      </c>
      <c r="B330" t="s">
        <v>26</v>
      </c>
      <c r="C330">
        <v>6025</v>
      </c>
      <c r="D330" t="s">
        <v>660</v>
      </c>
      <c r="E330" t="str">
        <f>VLOOKUP(D:D,Hoja2!A:B,2,FALSE)</f>
        <v>BENGIOMARE S.R.L</v>
      </c>
      <c r="F330" t="s">
        <v>20</v>
      </c>
      <c r="G330" t="s">
        <v>18</v>
      </c>
      <c r="H330" t="s">
        <v>660</v>
      </c>
      <c r="I330" t="s">
        <v>222</v>
      </c>
      <c r="J330" s="1">
        <v>67729</v>
      </c>
      <c r="K330" s="1">
        <v>67729</v>
      </c>
      <c r="L330" t="s">
        <v>24</v>
      </c>
      <c r="M330" t="s">
        <v>661</v>
      </c>
    </row>
    <row r="331" spans="1:13" x14ac:dyDescent="0.25">
      <c r="A331" t="s">
        <v>13</v>
      </c>
      <c r="B331" t="s">
        <v>26</v>
      </c>
      <c r="C331">
        <v>6086</v>
      </c>
      <c r="D331" t="s">
        <v>660</v>
      </c>
      <c r="E331" t="str">
        <f>VLOOKUP(D:D,Hoja2!A:B,2,FALSE)</f>
        <v>BENGIOMARE S.R.L</v>
      </c>
      <c r="F331" t="s">
        <v>20</v>
      </c>
      <c r="G331" t="s">
        <v>18</v>
      </c>
      <c r="H331" t="s">
        <v>660</v>
      </c>
      <c r="I331" t="s">
        <v>662</v>
      </c>
      <c r="J331" s="1">
        <v>10275480</v>
      </c>
      <c r="K331" s="1">
        <v>10343209</v>
      </c>
      <c r="L331" t="s">
        <v>24</v>
      </c>
      <c r="M331" t="s">
        <v>663</v>
      </c>
    </row>
    <row r="332" spans="1:13" x14ac:dyDescent="0.25">
      <c r="A332" t="s">
        <v>13</v>
      </c>
      <c r="B332" t="s">
        <v>26</v>
      </c>
      <c r="C332">
        <v>6102</v>
      </c>
      <c r="D332" t="s">
        <v>660</v>
      </c>
      <c r="E332" t="str">
        <f>VLOOKUP(D:D,Hoja2!A:B,2,FALSE)</f>
        <v>BENGIOMARE S.R.L</v>
      </c>
      <c r="F332" t="s">
        <v>20</v>
      </c>
      <c r="G332" t="s">
        <v>18</v>
      </c>
      <c r="H332" t="s">
        <v>660</v>
      </c>
      <c r="I332" t="s">
        <v>664</v>
      </c>
      <c r="J332" s="1">
        <v>10905600</v>
      </c>
      <c r="K332" s="1">
        <v>21248809</v>
      </c>
      <c r="L332" t="s">
        <v>24</v>
      </c>
      <c r="M332" t="s">
        <v>665</v>
      </c>
    </row>
    <row r="333" spans="1:13" x14ac:dyDescent="0.25">
      <c r="A333" t="s">
        <v>13</v>
      </c>
      <c r="B333" t="s">
        <v>26</v>
      </c>
      <c r="C333">
        <v>6117</v>
      </c>
      <c r="D333" t="s">
        <v>660</v>
      </c>
      <c r="E333" t="str">
        <f>VLOOKUP(D:D,Hoja2!A:B,2,FALSE)</f>
        <v>BENGIOMARE S.R.L</v>
      </c>
      <c r="F333" t="s">
        <v>20</v>
      </c>
      <c r="G333" t="s">
        <v>18</v>
      </c>
      <c r="H333" t="s">
        <v>660</v>
      </c>
      <c r="I333" t="s">
        <v>666</v>
      </c>
      <c r="J333" s="1">
        <v>10752000</v>
      </c>
      <c r="K333" s="1">
        <v>32000809</v>
      </c>
      <c r="L333" t="s">
        <v>24</v>
      </c>
      <c r="M333" t="s">
        <v>667</v>
      </c>
    </row>
    <row r="334" spans="1:13" x14ac:dyDescent="0.25">
      <c r="A334" t="s">
        <v>13</v>
      </c>
      <c r="B334" t="s">
        <v>26</v>
      </c>
      <c r="C334">
        <v>6133</v>
      </c>
      <c r="D334" t="s">
        <v>660</v>
      </c>
      <c r="E334" t="str">
        <f>VLOOKUP(D:D,Hoja2!A:B,2,FALSE)</f>
        <v>BENGIOMARE S.R.L</v>
      </c>
      <c r="F334" t="s">
        <v>20</v>
      </c>
      <c r="G334" t="s">
        <v>18</v>
      </c>
      <c r="H334" t="s">
        <v>660</v>
      </c>
      <c r="I334" t="s">
        <v>224</v>
      </c>
      <c r="J334" s="1">
        <v>10080000</v>
      </c>
      <c r="K334" s="1">
        <v>42080809</v>
      </c>
      <c r="L334" t="s">
        <v>24</v>
      </c>
      <c r="M334" t="s">
        <v>668</v>
      </c>
    </row>
    <row r="335" spans="1:13" x14ac:dyDescent="0.25">
      <c r="A335" t="s">
        <v>13</v>
      </c>
      <c r="B335" t="s">
        <v>26</v>
      </c>
      <c r="C335">
        <v>6150</v>
      </c>
      <c r="D335" t="s">
        <v>660</v>
      </c>
      <c r="E335" t="str">
        <f>VLOOKUP(D:D,Hoja2!A:B,2,FALSE)</f>
        <v>BENGIOMARE S.R.L</v>
      </c>
      <c r="F335" t="s">
        <v>20</v>
      </c>
      <c r="G335" t="s">
        <v>18</v>
      </c>
      <c r="H335" t="s">
        <v>660</v>
      </c>
      <c r="I335" t="s">
        <v>224</v>
      </c>
      <c r="J335" s="1">
        <v>2272875</v>
      </c>
      <c r="K335" s="1">
        <v>44353684</v>
      </c>
      <c r="L335" t="s">
        <v>24</v>
      </c>
      <c r="M335" t="s">
        <v>669</v>
      </c>
    </row>
    <row r="336" spans="1:13" x14ac:dyDescent="0.25">
      <c r="A336" t="s">
        <v>13</v>
      </c>
      <c r="B336" t="s">
        <v>26</v>
      </c>
      <c r="C336">
        <v>6160</v>
      </c>
      <c r="D336" t="s">
        <v>660</v>
      </c>
      <c r="E336" t="str">
        <f>VLOOKUP(D:D,Hoja2!A:B,2,FALSE)</f>
        <v>BENGIOMARE S.R.L</v>
      </c>
      <c r="F336" t="s">
        <v>20</v>
      </c>
      <c r="G336" t="s">
        <v>18</v>
      </c>
      <c r="H336" t="s">
        <v>660</v>
      </c>
      <c r="I336" t="s">
        <v>658</v>
      </c>
      <c r="J336" s="1">
        <v>13896000</v>
      </c>
      <c r="K336" s="1">
        <v>58249684</v>
      </c>
      <c r="L336" t="s">
        <v>24</v>
      </c>
      <c r="M336" t="s">
        <v>670</v>
      </c>
    </row>
    <row r="337" spans="1:13" x14ac:dyDescent="0.25">
      <c r="A337" t="s">
        <v>13</v>
      </c>
      <c r="B337" t="s">
        <v>26</v>
      </c>
      <c r="C337">
        <v>6175</v>
      </c>
      <c r="D337" t="s">
        <v>660</v>
      </c>
      <c r="E337" t="str">
        <f>VLOOKUP(D:D,Hoja2!A:B,2,FALSE)</f>
        <v>BENGIOMARE S.R.L</v>
      </c>
      <c r="F337" t="s">
        <v>20</v>
      </c>
      <c r="G337" t="s">
        <v>18</v>
      </c>
      <c r="H337" t="s">
        <v>660</v>
      </c>
      <c r="I337" t="s">
        <v>671</v>
      </c>
      <c r="J337" s="1">
        <v>9000000</v>
      </c>
      <c r="K337" s="1">
        <v>67249684</v>
      </c>
      <c r="L337" t="s">
        <v>24</v>
      </c>
      <c r="M337" t="s">
        <v>672</v>
      </c>
    </row>
    <row r="338" spans="1:13" x14ac:dyDescent="0.25">
      <c r="A338" t="s">
        <v>13</v>
      </c>
      <c r="B338" t="s">
        <v>26</v>
      </c>
      <c r="C338">
        <v>6256</v>
      </c>
      <c r="D338" t="s">
        <v>660</v>
      </c>
      <c r="E338" t="str">
        <f>VLOOKUP(D:D,Hoja2!A:B,2,FALSE)</f>
        <v>BENGIOMARE S.R.L</v>
      </c>
      <c r="F338" t="s">
        <v>20</v>
      </c>
      <c r="G338" t="s">
        <v>18</v>
      </c>
      <c r="H338" t="s">
        <v>660</v>
      </c>
      <c r="I338" t="s">
        <v>673</v>
      </c>
      <c r="J338" s="1">
        <v>3073320</v>
      </c>
      <c r="K338" s="1">
        <v>70323004</v>
      </c>
      <c r="L338" t="s">
        <v>24</v>
      </c>
      <c r="M338" t="s">
        <v>674</v>
      </c>
    </row>
    <row r="339" spans="1:13" x14ac:dyDescent="0.25">
      <c r="A339" t="s">
        <v>13</v>
      </c>
      <c r="B339" t="s">
        <v>26</v>
      </c>
      <c r="C339">
        <v>6316</v>
      </c>
      <c r="D339" t="s">
        <v>660</v>
      </c>
      <c r="E339" t="str">
        <f>VLOOKUP(D:D,Hoja2!A:B,2,FALSE)</f>
        <v>BENGIOMARE S.R.L</v>
      </c>
      <c r="F339" t="s">
        <v>20</v>
      </c>
      <c r="G339" t="s">
        <v>18</v>
      </c>
      <c r="H339" t="s">
        <v>660</v>
      </c>
      <c r="I339" t="s">
        <v>614</v>
      </c>
      <c r="J339" s="1">
        <v>2000000</v>
      </c>
      <c r="K339" s="1">
        <v>72323004</v>
      </c>
      <c r="L339" t="s">
        <v>24</v>
      </c>
      <c r="M339" t="s">
        <v>675</v>
      </c>
    </row>
    <row r="340" spans="1:13" x14ac:dyDescent="0.25">
      <c r="A340" t="s">
        <v>13</v>
      </c>
      <c r="B340" t="s">
        <v>26</v>
      </c>
      <c r="C340">
        <v>6394</v>
      </c>
      <c r="D340" t="s">
        <v>660</v>
      </c>
      <c r="E340" t="str">
        <f>VLOOKUP(D:D,Hoja2!A:B,2,FALSE)</f>
        <v>BENGIOMARE S.R.L</v>
      </c>
      <c r="F340" t="s">
        <v>20</v>
      </c>
      <c r="G340" t="s">
        <v>18</v>
      </c>
      <c r="H340" t="s">
        <v>660</v>
      </c>
      <c r="I340" t="s">
        <v>169</v>
      </c>
      <c r="J340" s="1">
        <v>2412487</v>
      </c>
      <c r="K340" s="1">
        <v>74735491</v>
      </c>
      <c r="L340" t="s">
        <v>24</v>
      </c>
      <c r="M340" t="s">
        <v>676</v>
      </c>
    </row>
    <row r="341" spans="1:13" x14ac:dyDescent="0.25">
      <c r="A341" t="s">
        <v>13</v>
      </c>
      <c r="B341" t="s">
        <v>32</v>
      </c>
      <c r="C341">
        <v>245</v>
      </c>
      <c r="D341" t="s">
        <v>660</v>
      </c>
      <c r="E341" t="str">
        <f>VLOOKUP(D:D,Hoja2!A:B,2,FALSE)</f>
        <v>BENGIOMARE S.R.L</v>
      </c>
      <c r="F341" t="s">
        <v>20</v>
      </c>
      <c r="G341" t="s">
        <v>18</v>
      </c>
      <c r="H341" t="s">
        <v>660</v>
      </c>
      <c r="I341" t="s">
        <v>169</v>
      </c>
      <c r="J341" s="1">
        <v>-2000000</v>
      </c>
      <c r="K341" s="1">
        <v>72735491</v>
      </c>
      <c r="L341" t="s">
        <v>24</v>
      </c>
      <c r="M341" t="s">
        <v>677</v>
      </c>
    </row>
    <row r="342" spans="1:13" x14ac:dyDescent="0.25">
      <c r="A342" t="s">
        <v>13</v>
      </c>
      <c r="B342" t="s">
        <v>26</v>
      </c>
      <c r="C342">
        <v>7264</v>
      </c>
      <c r="D342" t="s">
        <v>678</v>
      </c>
      <c r="E342" t="str">
        <f>VLOOKUP(D:D,Hoja2!A:B,2,FALSE)</f>
        <v>PESQUERA BUENA VISTA SA</v>
      </c>
      <c r="F342" t="s">
        <v>29</v>
      </c>
      <c r="G342" t="s">
        <v>18</v>
      </c>
      <c r="H342" t="s">
        <v>678</v>
      </c>
      <c r="I342" t="s">
        <v>42</v>
      </c>
      <c r="J342" s="1">
        <v>22240471.359999999</v>
      </c>
      <c r="K342" s="1">
        <v>22240471.359999999</v>
      </c>
      <c r="L342" t="s">
        <v>24</v>
      </c>
      <c r="M342" t="s">
        <v>680</v>
      </c>
    </row>
    <row r="343" spans="1:13" x14ac:dyDescent="0.25">
      <c r="A343" t="s">
        <v>13</v>
      </c>
      <c r="B343" t="s">
        <v>26</v>
      </c>
      <c r="C343">
        <v>6130</v>
      </c>
      <c r="D343" t="s">
        <v>681</v>
      </c>
      <c r="E343" t="str">
        <f>VLOOKUP(D:D,Hoja2!A:B,2,FALSE)</f>
        <v> MEYER SACIF</v>
      </c>
      <c r="F343" t="s">
        <v>29</v>
      </c>
      <c r="G343" t="s">
        <v>18</v>
      </c>
      <c r="H343" t="s">
        <v>681</v>
      </c>
      <c r="I343" t="s">
        <v>683</v>
      </c>
      <c r="J343" s="1">
        <v>306880.90999999997</v>
      </c>
      <c r="K343" s="1">
        <v>306880.90999999997</v>
      </c>
      <c r="L343" t="s">
        <v>24</v>
      </c>
      <c r="M343" t="s">
        <v>684</v>
      </c>
    </row>
    <row r="344" spans="1:13" x14ac:dyDescent="0.25">
      <c r="A344" t="s">
        <v>13</v>
      </c>
      <c r="B344" t="s">
        <v>32</v>
      </c>
      <c r="C344">
        <v>240</v>
      </c>
      <c r="D344" t="s">
        <v>681</v>
      </c>
      <c r="E344" t="str">
        <f>VLOOKUP(D:D,Hoja2!A:B,2,FALSE)</f>
        <v> MEYER SACIF</v>
      </c>
      <c r="F344" t="s">
        <v>29</v>
      </c>
      <c r="G344" t="s">
        <v>18</v>
      </c>
      <c r="H344" t="s">
        <v>681</v>
      </c>
      <c r="I344" t="s">
        <v>685</v>
      </c>
      <c r="J344" s="1">
        <v>-306880.90999999997</v>
      </c>
      <c r="K344" s="1">
        <v>0</v>
      </c>
      <c r="L344" t="s">
        <v>24</v>
      </c>
      <c r="M344" t="s">
        <v>686</v>
      </c>
    </row>
    <row r="345" spans="1:13" x14ac:dyDescent="0.25">
      <c r="A345" t="s">
        <v>13</v>
      </c>
      <c r="B345" t="s">
        <v>26</v>
      </c>
      <c r="C345">
        <v>6432</v>
      </c>
      <c r="D345" t="s">
        <v>681</v>
      </c>
      <c r="E345" t="str">
        <f>VLOOKUP(D:D,Hoja2!A:B,2,FALSE)</f>
        <v> MEYER SACIF</v>
      </c>
      <c r="F345" t="s">
        <v>29</v>
      </c>
      <c r="G345" t="s">
        <v>18</v>
      </c>
      <c r="H345" t="s">
        <v>681</v>
      </c>
      <c r="I345" t="s">
        <v>687</v>
      </c>
      <c r="J345" s="1">
        <v>306880.90999999997</v>
      </c>
      <c r="K345" s="1">
        <v>306880.90999999997</v>
      </c>
      <c r="L345" t="s">
        <v>24</v>
      </c>
      <c r="M345" t="s">
        <v>688</v>
      </c>
    </row>
    <row r="346" spans="1:13" x14ac:dyDescent="0.25">
      <c r="A346" t="s">
        <v>13</v>
      </c>
      <c r="B346" t="s">
        <v>32</v>
      </c>
      <c r="C346">
        <v>249</v>
      </c>
      <c r="D346" t="s">
        <v>681</v>
      </c>
      <c r="E346" t="str">
        <f>VLOOKUP(D:D,Hoja2!A:B,2,FALSE)</f>
        <v> MEYER SACIF</v>
      </c>
      <c r="F346" t="s">
        <v>29</v>
      </c>
      <c r="G346" t="s">
        <v>18</v>
      </c>
      <c r="H346" t="s">
        <v>681</v>
      </c>
      <c r="I346" t="s">
        <v>687</v>
      </c>
      <c r="J346" s="1">
        <v>-306880.90999999997</v>
      </c>
      <c r="K346" s="1">
        <v>0</v>
      </c>
      <c r="L346" t="s">
        <v>24</v>
      </c>
      <c r="M346" t="s">
        <v>689</v>
      </c>
    </row>
    <row r="347" spans="1:13" x14ac:dyDescent="0.25">
      <c r="A347" t="s">
        <v>13</v>
      </c>
      <c r="B347" t="s">
        <v>635</v>
      </c>
      <c r="C347">
        <v>90</v>
      </c>
      <c r="D347" t="s">
        <v>690</v>
      </c>
      <c r="E347" t="str">
        <f>VLOOKUP(D:D,Hoja2!A:B,2,FALSE)</f>
        <v>SANABRIA PABLO JAVIER</v>
      </c>
      <c r="F347" t="s">
        <v>48</v>
      </c>
      <c r="G347" t="s">
        <v>18</v>
      </c>
      <c r="H347" t="s">
        <v>690</v>
      </c>
      <c r="I347" t="s">
        <v>692</v>
      </c>
      <c r="J347" s="1">
        <v>5000000.01</v>
      </c>
      <c r="K347" s="1">
        <v>5000000.01</v>
      </c>
      <c r="L347" t="s">
        <v>24</v>
      </c>
      <c r="M347" t="s">
        <v>379</v>
      </c>
    </row>
    <row r="348" spans="1:13" x14ac:dyDescent="0.25">
      <c r="A348" t="s">
        <v>13</v>
      </c>
      <c r="B348" t="s">
        <v>693</v>
      </c>
      <c r="C348">
        <v>1</v>
      </c>
      <c r="D348" t="s">
        <v>690</v>
      </c>
      <c r="E348" t="str">
        <f>VLOOKUP(D:D,Hoja2!A:B,2,FALSE)</f>
        <v>SANABRIA PABLO JAVIER</v>
      </c>
      <c r="F348" t="s">
        <v>48</v>
      </c>
      <c r="G348" t="s">
        <v>18</v>
      </c>
      <c r="H348" t="s">
        <v>690</v>
      </c>
      <c r="I348" t="s">
        <v>694</v>
      </c>
      <c r="J348" s="1">
        <v>-5000000.01</v>
      </c>
      <c r="K348" s="1">
        <v>0</v>
      </c>
      <c r="L348" t="s">
        <v>24</v>
      </c>
      <c r="M348" t="s">
        <v>695</v>
      </c>
    </row>
    <row r="349" spans="1:13" x14ac:dyDescent="0.25">
      <c r="A349" t="s">
        <v>13</v>
      </c>
      <c r="B349" t="s">
        <v>26</v>
      </c>
      <c r="C349">
        <v>7278</v>
      </c>
      <c r="D349" t="s">
        <v>696</v>
      </c>
      <c r="E349" t="str">
        <f>VLOOKUP(D:D,Hoja2!A:B,2,FALSE)</f>
        <v>LA ISOLANA SA</v>
      </c>
      <c r="F349" t="s">
        <v>29</v>
      </c>
      <c r="G349" t="s">
        <v>18</v>
      </c>
      <c r="H349" t="s">
        <v>696</v>
      </c>
      <c r="I349" t="s">
        <v>42</v>
      </c>
      <c r="J349" s="1">
        <v>12637350</v>
      </c>
      <c r="K349" s="1">
        <v>12637350</v>
      </c>
      <c r="L349" t="s">
        <v>24</v>
      </c>
      <c r="M349" t="s">
        <v>698</v>
      </c>
    </row>
    <row r="350" spans="1:13" x14ac:dyDescent="0.25">
      <c r="A350" t="s">
        <v>13</v>
      </c>
      <c r="B350" t="s">
        <v>26</v>
      </c>
      <c r="C350">
        <v>7297</v>
      </c>
      <c r="D350" t="s">
        <v>696</v>
      </c>
      <c r="E350" t="str">
        <f>VLOOKUP(D:D,Hoja2!A:B,2,FALSE)</f>
        <v>LA ISOLANA SA</v>
      </c>
      <c r="F350" t="s">
        <v>29</v>
      </c>
      <c r="G350" t="s">
        <v>18</v>
      </c>
      <c r="H350" t="s">
        <v>696</v>
      </c>
      <c r="I350" t="s">
        <v>44</v>
      </c>
      <c r="J350" s="1">
        <v>12295800</v>
      </c>
      <c r="K350" s="1">
        <v>24933150</v>
      </c>
      <c r="L350" t="s">
        <v>24</v>
      </c>
      <c r="M350" t="s">
        <v>699</v>
      </c>
    </row>
    <row r="351" spans="1:13" x14ac:dyDescent="0.25">
      <c r="A351" t="s">
        <v>13</v>
      </c>
      <c r="B351" t="s">
        <v>14</v>
      </c>
      <c r="C351">
        <v>9575</v>
      </c>
      <c r="D351" t="s">
        <v>700</v>
      </c>
      <c r="E351" t="str">
        <f>VLOOKUP(D:D,Hoja2!A:B,2,FALSE)</f>
        <v>CONGELADOS LOS TANOS S. A.</v>
      </c>
      <c r="F351" t="s">
        <v>105</v>
      </c>
      <c r="G351" t="s">
        <v>18</v>
      </c>
      <c r="H351" t="s">
        <v>700</v>
      </c>
      <c r="I351" t="s">
        <v>702</v>
      </c>
      <c r="J351" s="1">
        <v>-40642</v>
      </c>
      <c r="K351" s="1">
        <v>-40642</v>
      </c>
      <c r="L351" t="s">
        <v>20</v>
      </c>
      <c r="M351" t="s">
        <v>703</v>
      </c>
    </row>
    <row r="352" spans="1:13" x14ac:dyDescent="0.25">
      <c r="A352" t="s">
        <v>13</v>
      </c>
      <c r="B352" t="s">
        <v>14</v>
      </c>
      <c r="C352">
        <v>9566</v>
      </c>
      <c r="D352" t="s">
        <v>704</v>
      </c>
      <c r="E352" t="str">
        <f>VLOOKUP(D:D,Hoja2!A:B,2,FALSE)</f>
        <v>PUERTO RAWAMAR S.A.</v>
      </c>
      <c r="F352" t="s">
        <v>105</v>
      </c>
      <c r="G352" t="s">
        <v>18</v>
      </c>
      <c r="H352" t="s">
        <v>704</v>
      </c>
      <c r="I352" t="s">
        <v>587</v>
      </c>
      <c r="J352" s="1">
        <v>-72432.899999999994</v>
      </c>
      <c r="K352" s="1">
        <v>-72432.899999999994</v>
      </c>
      <c r="L352" t="s">
        <v>20</v>
      </c>
      <c r="M352" t="s">
        <v>706</v>
      </c>
    </row>
    <row r="353" spans="1:13" x14ac:dyDescent="0.25">
      <c r="A353" t="s">
        <v>13</v>
      </c>
      <c r="B353" t="s">
        <v>26</v>
      </c>
      <c r="C353">
        <v>7206</v>
      </c>
      <c r="D353" t="s">
        <v>707</v>
      </c>
      <c r="E353" t="str">
        <f>VLOOKUP(D:D,Hoja2!A:B,2,FALSE)</f>
        <v>ARMADORA ACRUX SA</v>
      </c>
      <c r="F353" t="s">
        <v>48</v>
      </c>
      <c r="G353" t="s">
        <v>18</v>
      </c>
      <c r="H353" t="s">
        <v>707</v>
      </c>
      <c r="I353" t="s">
        <v>709</v>
      </c>
      <c r="J353" s="1">
        <v>24006015.600000001</v>
      </c>
      <c r="K353" s="1">
        <v>24006015.600000001</v>
      </c>
      <c r="L353" t="s">
        <v>24</v>
      </c>
      <c r="M353" t="s">
        <v>710</v>
      </c>
    </row>
    <row r="354" spans="1:13" x14ac:dyDescent="0.25">
      <c r="A354" t="s">
        <v>13</v>
      </c>
      <c r="B354" t="s">
        <v>26</v>
      </c>
      <c r="C354">
        <v>7266</v>
      </c>
      <c r="D354" t="s">
        <v>707</v>
      </c>
      <c r="E354" t="str">
        <f>VLOOKUP(D:D,Hoja2!A:B,2,FALSE)</f>
        <v>ARMADORA ACRUX SA</v>
      </c>
      <c r="F354" t="s">
        <v>48</v>
      </c>
      <c r="G354" t="s">
        <v>18</v>
      </c>
      <c r="H354" t="s">
        <v>707</v>
      </c>
      <c r="I354" t="s">
        <v>42</v>
      </c>
      <c r="J354" s="1">
        <v>34319143.960000001</v>
      </c>
      <c r="K354" s="1">
        <v>58325159.560000002</v>
      </c>
      <c r="L354" t="s">
        <v>24</v>
      </c>
      <c r="M354" t="s">
        <v>711</v>
      </c>
    </row>
    <row r="355" spans="1:13" x14ac:dyDescent="0.25">
      <c r="A355" t="s">
        <v>13</v>
      </c>
      <c r="B355" t="s">
        <v>26</v>
      </c>
      <c r="C355">
        <v>7166</v>
      </c>
      <c r="D355" t="s">
        <v>712</v>
      </c>
      <c r="E355" t="str">
        <f>VLOOKUP(D:D,Hoja2!A:B,2,FALSE)</f>
        <v>SHIN YANG AR SA</v>
      </c>
      <c r="F355" t="s">
        <v>48</v>
      </c>
      <c r="G355" t="s">
        <v>18</v>
      </c>
      <c r="H355" t="s">
        <v>712</v>
      </c>
      <c r="I355" t="s">
        <v>714</v>
      </c>
      <c r="J355" s="1">
        <v>54218630.479999997</v>
      </c>
      <c r="K355" s="1">
        <v>54218630.479999997</v>
      </c>
      <c r="L355" t="s">
        <v>24</v>
      </c>
      <c r="M355" t="s">
        <v>715</v>
      </c>
    </row>
    <row r="356" spans="1:13" x14ac:dyDescent="0.25">
      <c r="A356" t="s">
        <v>13</v>
      </c>
      <c r="B356" t="s">
        <v>26</v>
      </c>
      <c r="C356">
        <v>7167</v>
      </c>
      <c r="D356" t="s">
        <v>712</v>
      </c>
      <c r="E356" t="str">
        <f>VLOOKUP(D:D,Hoja2!A:B,2,FALSE)</f>
        <v>SHIN YANG AR SA</v>
      </c>
      <c r="F356" t="s">
        <v>48</v>
      </c>
      <c r="G356" t="s">
        <v>18</v>
      </c>
      <c r="H356" t="s">
        <v>712</v>
      </c>
      <c r="I356" t="s">
        <v>714</v>
      </c>
      <c r="J356" s="1">
        <v>42660578.079999998</v>
      </c>
      <c r="K356" s="1">
        <v>96879208.560000002</v>
      </c>
      <c r="L356" t="s">
        <v>24</v>
      </c>
      <c r="M356" t="s">
        <v>716</v>
      </c>
    </row>
    <row r="357" spans="1:13" x14ac:dyDescent="0.25">
      <c r="A357" t="s">
        <v>13</v>
      </c>
      <c r="B357" t="s">
        <v>26</v>
      </c>
      <c r="C357">
        <v>7207</v>
      </c>
      <c r="D357" t="s">
        <v>712</v>
      </c>
      <c r="E357" t="str">
        <f>VLOOKUP(D:D,Hoja2!A:B,2,FALSE)</f>
        <v>SHIN YANG AR SA</v>
      </c>
      <c r="F357" t="s">
        <v>48</v>
      </c>
      <c r="G357" t="s">
        <v>18</v>
      </c>
      <c r="H357" t="s">
        <v>712</v>
      </c>
      <c r="I357" t="s">
        <v>709</v>
      </c>
      <c r="J357" s="1">
        <v>41272308.799999997</v>
      </c>
      <c r="K357" s="1">
        <v>138151517.36000001</v>
      </c>
      <c r="L357" t="s">
        <v>24</v>
      </c>
      <c r="M357" t="s">
        <v>717</v>
      </c>
    </row>
    <row r="358" spans="1:13" x14ac:dyDescent="0.25">
      <c r="A358" t="s">
        <v>13</v>
      </c>
      <c r="B358" t="s">
        <v>26</v>
      </c>
      <c r="C358">
        <v>7265</v>
      </c>
      <c r="D358" t="s">
        <v>712</v>
      </c>
      <c r="E358" t="str">
        <f>VLOOKUP(D:D,Hoja2!A:B,2,FALSE)</f>
        <v>SHIN YANG AR SA</v>
      </c>
      <c r="F358" t="s">
        <v>48</v>
      </c>
      <c r="G358" t="s">
        <v>18</v>
      </c>
      <c r="H358" t="s">
        <v>712</v>
      </c>
      <c r="I358" t="s">
        <v>42</v>
      </c>
      <c r="J358" s="1">
        <v>43183468.719999999</v>
      </c>
      <c r="K358" s="1">
        <v>181334986.08000001</v>
      </c>
      <c r="L358" t="s">
        <v>24</v>
      </c>
      <c r="M358" t="s">
        <v>718</v>
      </c>
    </row>
    <row r="359" spans="1:13" x14ac:dyDescent="0.25">
      <c r="A359" t="s">
        <v>13</v>
      </c>
      <c r="B359" t="s">
        <v>26</v>
      </c>
      <c r="C359">
        <v>7268</v>
      </c>
      <c r="D359" t="s">
        <v>712</v>
      </c>
      <c r="E359" t="str">
        <f>VLOOKUP(D:D,Hoja2!A:B,2,FALSE)</f>
        <v>SHIN YANG AR SA</v>
      </c>
      <c r="F359" t="s">
        <v>48</v>
      </c>
      <c r="G359" t="s">
        <v>18</v>
      </c>
      <c r="H359" t="s">
        <v>712</v>
      </c>
      <c r="I359" t="s">
        <v>42</v>
      </c>
      <c r="J359" s="1">
        <v>36375318.159999996</v>
      </c>
      <c r="K359" s="1">
        <v>217710304.24000001</v>
      </c>
      <c r="L359" t="s">
        <v>24</v>
      </c>
      <c r="M359" t="s">
        <v>719</v>
      </c>
    </row>
    <row r="360" spans="1:13" x14ac:dyDescent="0.25">
      <c r="A360" t="s">
        <v>13</v>
      </c>
      <c r="B360" t="s">
        <v>26</v>
      </c>
      <c r="C360">
        <v>7174</v>
      </c>
      <c r="D360" t="s">
        <v>720</v>
      </c>
      <c r="E360" t="str">
        <f>VLOOKUP(D:D,Hoja2!A:B,2,FALSE)</f>
        <v>GASTRONOMIA SATORIL1 S.A.</v>
      </c>
      <c r="F360" t="s">
        <v>105</v>
      </c>
      <c r="G360" t="s">
        <v>18</v>
      </c>
      <c r="H360" t="s">
        <v>720</v>
      </c>
      <c r="I360" t="s">
        <v>587</v>
      </c>
      <c r="J360" s="1">
        <v>238080</v>
      </c>
      <c r="K360" s="1">
        <v>238080</v>
      </c>
      <c r="L360" t="s">
        <v>24</v>
      </c>
      <c r="M360" t="s">
        <v>722</v>
      </c>
    </row>
    <row r="361" spans="1:13" x14ac:dyDescent="0.25">
      <c r="A361" t="s">
        <v>13</v>
      </c>
      <c r="B361" t="s">
        <v>26</v>
      </c>
      <c r="C361">
        <v>7243</v>
      </c>
      <c r="D361" t="s">
        <v>720</v>
      </c>
      <c r="E361" t="str">
        <f>VLOOKUP(D:D,Hoja2!A:B,2,FALSE)</f>
        <v>GASTRONOMIA SATORIL1 S.A.</v>
      </c>
      <c r="F361" t="s">
        <v>105</v>
      </c>
      <c r="G361" t="s">
        <v>18</v>
      </c>
      <c r="H361" t="s">
        <v>720</v>
      </c>
      <c r="I361" t="s">
        <v>723</v>
      </c>
      <c r="J361" s="1">
        <v>238080</v>
      </c>
      <c r="K361" s="1">
        <v>476160</v>
      </c>
      <c r="L361" t="s">
        <v>24</v>
      </c>
      <c r="M361" t="s">
        <v>724</v>
      </c>
    </row>
    <row r="362" spans="1:13" x14ac:dyDescent="0.25">
      <c r="A362" t="s">
        <v>13</v>
      </c>
      <c r="B362" t="s">
        <v>26</v>
      </c>
      <c r="C362">
        <v>7169</v>
      </c>
      <c r="D362" t="s">
        <v>725</v>
      </c>
      <c r="E362" t="str">
        <f>VLOOKUP(D:D,Hoja2!A:B,2,FALSE)</f>
        <v>RICH MARINE FISHERY S.A.</v>
      </c>
      <c r="F362" t="s">
        <v>48</v>
      </c>
      <c r="G362" t="s">
        <v>18</v>
      </c>
      <c r="H362" t="s">
        <v>725</v>
      </c>
      <c r="I362" t="s">
        <v>714</v>
      </c>
      <c r="J362" s="1">
        <v>20252452.52</v>
      </c>
      <c r="K362" s="1">
        <v>20252452.52</v>
      </c>
      <c r="L362" t="s">
        <v>24</v>
      </c>
      <c r="M362" t="s">
        <v>727</v>
      </c>
    </row>
    <row r="363" spans="1:13" x14ac:dyDescent="0.25">
      <c r="A363" t="s">
        <v>13</v>
      </c>
      <c r="B363" t="s">
        <v>26</v>
      </c>
      <c r="C363">
        <v>7172</v>
      </c>
      <c r="D363" t="s">
        <v>725</v>
      </c>
      <c r="E363" t="str">
        <f>VLOOKUP(D:D,Hoja2!A:B,2,FALSE)</f>
        <v>RICH MARINE FISHERY S.A.</v>
      </c>
      <c r="F363" t="s">
        <v>48</v>
      </c>
      <c r="G363" t="s">
        <v>18</v>
      </c>
      <c r="H363" t="s">
        <v>725</v>
      </c>
      <c r="I363" t="s">
        <v>728</v>
      </c>
      <c r="J363" s="1">
        <v>41033235.560000002</v>
      </c>
      <c r="K363" s="1">
        <v>61285688.079999998</v>
      </c>
      <c r="L363" t="s">
        <v>24</v>
      </c>
      <c r="M363" t="s">
        <v>729</v>
      </c>
    </row>
    <row r="364" spans="1:13" x14ac:dyDescent="0.25">
      <c r="A364" t="s">
        <v>13</v>
      </c>
      <c r="B364" t="s">
        <v>26</v>
      </c>
      <c r="C364">
        <v>7210</v>
      </c>
      <c r="D364" t="s">
        <v>725</v>
      </c>
      <c r="E364" t="str">
        <f>VLOOKUP(D:D,Hoja2!A:B,2,FALSE)</f>
        <v>RICH MARINE FISHERY S.A.</v>
      </c>
      <c r="F364" t="s">
        <v>48</v>
      </c>
      <c r="G364" t="s">
        <v>18</v>
      </c>
      <c r="H364" t="s">
        <v>725</v>
      </c>
      <c r="I364" t="s">
        <v>709</v>
      </c>
      <c r="J364" s="1">
        <v>19879535.350000001</v>
      </c>
      <c r="K364" s="1">
        <v>81165223.430000007</v>
      </c>
      <c r="L364" t="s">
        <v>24</v>
      </c>
      <c r="M364" t="s">
        <v>730</v>
      </c>
    </row>
    <row r="365" spans="1:13" x14ac:dyDescent="0.25">
      <c r="A365" t="s">
        <v>13</v>
      </c>
      <c r="B365" t="s">
        <v>26</v>
      </c>
      <c r="C365">
        <v>7211</v>
      </c>
      <c r="D365" t="s">
        <v>725</v>
      </c>
      <c r="E365" t="str">
        <f>VLOOKUP(D:D,Hoja2!A:B,2,FALSE)</f>
        <v>RICH MARINE FISHERY S.A.</v>
      </c>
      <c r="F365" t="s">
        <v>48</v>
      </c>
      <c r="G365" t="s">
        <v>18</v>
      </c>
      <c r="H365" t="s">
        <v>725</v>
      </c>
      <c r="I365" t="s">
        <v>709</v>
      </c>
      <c r="J365" s="1">
        <v>8957817.0399999991</v>
      </c>
      <c r="K365" s="1">
        <v>90123040.469999999</v>
      </c>
      <c r="L365" t="s">
        <v>24</v>
      </c>
      <c r="M365" t="s">
        <v>731</v>
      </c>
    </row>
    <row r="366" spans="1:13" x14ac:dyDescent="0.25">
      <c r="A366" t="s">
        <v>13</v>
      </c>
      <c r="B366" t="s">
        <v>26</v>
      </c>
      <c r="C366">
        <v>7267</v>
      </c>
      <c r="D366" t="s">
        <v>725</v>
      </c>
      <c r="E366" t="str">
        <f>VLOOKUP(D:D,Hoja2!A:B,2,FALSE)</f>
        <v>RICH MARINE FISHERY S.A.</v>
      </c>
      <c r="F366" t="s">
        <v>48</v>
      </c>
      <c r="G366" t="s">
        <v>18</v>
      </c>
      <c r="H366" t="s">
        <v>725</v>
      </c>
      <c r="I366" t="s">
        <v>42</v>
      </c>
      <c r="J366" s="1">
        <v>25217276.120000001</v>
      </c>
      <c r="K366" s="1">
        <v>115340316.59</v>
      </c>
      <c r="L366" t="s">
        <v>24</v>
      </c>
      <c r="M366" t="s">
        <v>732</v>
      </c>
    </row>
    <row r="367" spans="1:13" x14ac:dyDescent="0.25">
      <c r="A367" t="s">
        <v>13</v>
      </c>
      <c r="B367" t="s">
        <v>26</v>
      </c>
      <c r="C367">
        <v>7269</v>
      </c>
      <c r="D367" t="s">
        <v>725</v>
      </c>
      <c r="E367" t="str">
        <f>VLOOKUP(D:D,Hoja2!A:B,2,FALSE)</f>
        <v>RICH MARINE FISHERY S.A.</v>
      </c>
      <c r="F367" t="s">
        <v>48</v>
      </c>
      <c r="G367" t="s">
        <v>18</v>
      </c>
      <c r="H367" t="s">
        <v>725</v>
      </c>
      <c r="I367" t="s">
        <v>42</v>
      </c>
      <c r="J367" s="1">
        <v>23908759.920000002</v>
      </c>
      <c r="K367" s="1">
        <v>139249076.50999999</v>
      </c>
      <c r="L367" t="s">
        <v>24</v>
      </c>
      <c r="M367" t="s">
        <v>733</v>
      </c>
    </row>
    <row r="368" spans="1:13" x14ac:dyDescent="0.25">
      <c r="A368" t="s">
        <v>13</v>
      </c>
      <c r="B368" t="s">
        <v>26</v>
      </c>
      <c r="C368">
        <v>7270</v>
      </c>
      <c r="D368" t="s">
        <v>725</v>
      </c>
      <c r="E368" t="str">
        <f>VLOOKUP(D:D,Hoja2!A:B,2,FALSE)</f>
        <v>RICH MARINE FISHERY S.A.</v>
      </c>
      <c r="F368" t="s">
        <v>48</v>
      </c>
      <c r="G368" t="s">
        <v>18</v>
      </c>
      <c r="H368" t="s">
        <v>725</v>
      </c>
      <c r="I368" t="s">
        <v>42</v>
      </c>
      <c r="J368" s="1">
        <v>15088890.4</v>
      </c>
      <c r="K368" s="1">
        <v>154337966.91</v>
      </c>
      <c r="L368" t="s">
        <v>24</v>
      </c>
      <c r="M368" t="s">
        <v>734</v>
      </c>
    </row>
    <row r="369" spans="1:13" x14ac:dyDescent="0.25">
      <c r="A369" t="s">
        <v>13</v>
      </c>
      <c r="B369" t="s">
        <v>73</v>
      </c>
      <c r="C369">
        <v>38720</v>
      </c>
      <c r="D369" t="s">
        <v>735</v>
      </c>
      <c r="E369" t="str">
        <f>VLOOKUP(D:D,Hoja2!A:B,2,FALSE)</f>
        <v>PESSUD SA</v>
      </c>
      <c r="F369" t="s">
        <v>20</v>
      </c>
      <c r="G369" t="s">
        <v>18</v>
      </c>
      <c r="H369" t="s">
        <v>735</v>
      </c>
      <c r="I369" t="s">
        <v>736</v>
      </c>
      <c r="J369" s="1">
        <v>3405.26</v>
      </c>
      <c r="K369" s="1">
        <v>3405.26</v>
      </c>
      <c r="L369" t="s">
        <v>76</v>
      </c>
      <c r="M369" t="s">
        <v>737</v>
      </c>
    </row>
    <row r="370" spans="1:13" x14ac:dyDescent="0.25">
      <c r="A370" t="s">
        <v>13</v>
      </c>
      <c r="B370" t="s">
        <v>73</v>
      </c>
      <c r="C370">
        <v>38821</v>
      </c>
      <c r="D370" t="s">
        <v>735</v>
      </c>
      <c r="E370" t="str">
        <f>VLOOKUP(D:D,Hoja2!A:B,2,FALSE)</f>
        <v>PESSUD SA</v>
      </c>
      <c r="F370" t="s">
        <v>20</v>
      </c>
      <c r="G370" t="s">
        <v>18</v>
      </c>
      <c r="H370" t="s">
        <v>735</v>
      </c>
      <c r="I370" t="s">
        <v>738</v>
      </c>
      <c r="J370" s="1">
        <v>1484.12</v>
      </c>
      <c r="K370" s="1">
        <v>4889.38</v>
      </c>
      <c r="L370" t="s">
        <v>76</v>
      </c>
      <c r="M370" t="s">
        <v>739</v>
      </c>
    </row>
    <row r="371" spans="1:13" x14ac:dyDescent="0.25">
      <c r="A371" t="s">
        <v>13</v>
      </c>
      <c r="B371" t="s">
        <v>100</v>
      </c>
      <c r="C371">
        <v>54</v>
      </c>
      <c r="D371" t="s">
        <v>735</v>
      </c>
      <c r="E371" t="str">
        <f>VLOOKUP(D:D,Hoja2!A:B,2,FALSE)</f>
        <v>PESSUD SA</v>
      </c>
      <c r="F371" t="s">
        <v>20</v>
      </c>
      <c r="G371" t="s">
        <v>18</v>
      </c>
      <c r="H371" t="s">
        <v>735</v>
      </c>
      <c r="I371" t="s">
        <v>203</v>
      </c>
      <c r="J371" s="1">
        <v>-4889.38</v>
      </c>
      <c r="K371" s="1">
        <v>0</v>
      </c>
      <c r="L371" t="s">
        <v>76</v>
      </c>
      <c r="M371" t="s">
        <v>740</v>
      </c>
    </row>
    <row r="372" spans="1:13" x14ac:dyDescent="0.25">
      <c r="A372" t="s">
        <v>13</v>
      </c>
      <c r="B372" t="s">
        <v>26</v>
      </c>
      <c r="C372">
        <v>6371</v>
      </c>
      <c r="D372" t="s">
        <v>741</v>
      </c>
      <c r="E372" t="str">
        <f>VLOOKUP(D:D,Hoja2!A:B,2,FALSE)</f>
        <v>CONGELADOS ARTICO SA</v>
      </c>
      <c r="F372" t="s">
        <v>17</v>
      </c>
      <c r="G372" t="s">
        <v>18</v>
      </c>
      <c r="H372" t="s">
        <v>741</v>
      </c>
      <c r="I372" t="s">
        <v>620</v>
      </c>
      <c r="J372" s="1">
        <v>145161518.78</v>
      </c>
      <c r="K372" s="1">
        <v>145161518.78</v>
      </c>
      <c r="L372" t="s">
        <v>24</v>
      </c>
      <c r="M372" t="s">
        <v>743</v>
      </c>
    </row>
    <row r="373" spans="1:13" x14ac:dyDescent="0.25">
      <c r="A373" t="s">
        <v>13</v>
      </c>
      <c r="B373" t="s">
        <v>32</v>
      </c>
      <c r="C373">
        <v>244</v>
      </c>
      <c r="D373" t="s">
        <v>741</v>
      </c>
      <c r="E373" t="str">
        <f>VLOOKUP(D:D,Hoja2!A:B,2,FALSE)</f>
        <v>CONGELADOS ARTICO SA</v>
      </c>
      <c r="F373" t="s">
        <v>17</v>
      </c>
      <c r="G373" t="s">
        <v>18</v>
      </c>
      <c r="H373" t="s">
        <v>741</v>
      </c>
      <c r="I373" t="s">
        <v>600</v>
      </c>
      <c r="J373" s="1">
        <v>-145161518.78</v>
      </c>
      <c r="K373" s="1">
        <v>0</v>
      </c>
      <c r="L373" t="s">
        <v>24</v>
      </c>
      <c r="M373" t="s">
        <v>744</v>
      </c>
    </row>
    <row r="374" spans="1:13" x14ac:dyDescent="0.25">
      <c r="A374" t="s">
        <v>13</v>
      </c>
      <c r="B374" t="s">
        <v>26</v>
      </c>
      <c r="C374">
        <v>7244</v>
      </c>
      <c r="D374" t="s">
        <v>741</v>
      </c>
      <c r="E374" t="str">
        <f>VLOOKUP(D:D,Hoja2!A:B,2,FALSE)</f>
        <v>CONGELADOS ARTICO SA</v>
      </c>
      <c r="F374" t="s">
        <v>17</v>
      </c>
      <c r="G374" t="s">
        <v>18</v>
      </c>
      <c r="H374" t="s">
        <v>741</v>
      </c>
      <c r="I374" t="s">
        <v>40</v>
      </c>
      <c r="J374" s="1">
        <v>42870212.700000003</v>
      </c>
      <c r="K374" s="1">
        <v>42870212.700000003</v>
      </c>
      <c r="L374" t="s">
        <v>24</v>
      </c>
      <c r="M374" t="s">
        <v>745</v>
      </c>
    </row>
    <row r="375" spans="1:13" x14ac:dyDescent="0.25">
      <c r="A375" t="s">
        <v>13</v>
      </c>
      <c r="B375" t="s">
        <v>26</v>
      </c>
      <c r="C375">
        <v>7245</v>
      </c>
      <c r="D375" t="s">
        <v>741</v>
      </c>
      <c r="E375" t="str">
        <f>VLOOKUP(D:D,Hoja2!A:B,2,FALSE)</f>
        <v>CONGELADOS ARTICO SA</v>
      </c>
      <c r="F375" t="s">
        <v>17</v>
      </c>
      <c r="G375" t="s">
        <v>18</v>
      </c>
      <c r="H375" t="s">
        <v>741</v>
      </c>
      <c r="I375" t="s">
        <v>40</v>
      </c>
      <c r="J375" s="1">
        <v>56131093.549999997</v>
      </c>
      <c r="K375" s="1">
        <v>99001306.25</v>
      </c>
      <c r="L375" t="s">
        <v>24</v>
      </c>
      <c r="M375" t="s">
        <v>746</v>
      </c>
    </row>
    <row r="376" spans="1:13" x14ac:dyDescent="0.25">
      <c r="A376" t="s">
        <v>13</v>
      </c>
      <c r="B376" t="s">
        <v>26</v>
      </c>
      <c r="C376">
        <v>7262</v>
      </c>
      <c r="D376" t="s">
        <v>741</v>
      </c>
      <c r="E376" t="str">
        <f>VLOOKUP(D:D,Hoja2!A:B,2,FALSE)</f>
        <v>CONGELADOS ARTICO SA</v>
      </c>
      <c r="F376" t="s">
        <v>17</v>
      </c>
      <c r="G376" t="s">
        <v>18</v>
      </c>
      <c r="H376" t="s">
        <v>741</v>
      </c>
      <c r="I376" t="s">
        <v>296</v>
      </c>
      <c r="J376" s="1">
        <v>7260000</v>
      </c>
      <c r="K376" s="1">
        <v>106261306.25</v>
      </c>
      <c r="L376" t="s">
        <v>24</v>
      </c>
      <c r="M376" t="s">
        <v>747</v>
      </c>
    </row>
    <row r="377" spans="1:13" x14ac:dyDescent="0.25">
      <c r="A377" t="s">
        <v>13</v>
      </c>
      <c r="B377" t="s">
        <v>26</v>
      </c>
      <c r="C377">
        <v>7263</v>
      </c>
      <c r="D377" t="s">
        <v>741</v>
      </c>
      <c r="E377" t="str">
        <f>VLOOKUP(D:D,Hoja2!A:B,2,FALSE)</f>
        <v>CONGELADOS ARTICO SA</v>
      </c>
      <c r="F377" t="s">
        <v>17</v>
      </c>
      <c r="G377" t="s">
        <v>18</v>
      </c>
      <c r="H377" t="s">
        <v>741</v>
      </c>
      <c r="I377" t="s">
        <v>296</v>
      </c>
      <c r="J377" s="1">
        <v>5443729.5</v>
      </c>
      <c r="K377" s="1">
        <v>111705035.75</v>
      </c>
      <c r="L377" t="s">
        <v>24</v>
      </c>
      <c r="M377" t="s">
        <v>748</v>
      </c>
    </row>
    <row r="378" spans="1:13" x14ac:dyDescent="0.25">
      <c r="A378" t="s">
        <v>13</v>
      </c>
      <c r="B378" t="s">
        <v>26</v>
      </c>
      <c r="C378">
        <v>7290</v>
      </c>
      <c r="D378" t="s">
        <v>741</v>
      </c>
      <c r="E378" t="str">
        <f>VLOOKUP(D:D,Hoja2!A:B,2,FALSE)</f>
        <v>CONGELADOS ARTICO SA</v>
      </c>
      <c r="F378" t="s">
        <v>17</v>
      </c>
      <c r="G378" t="s">
        <v>18</v>
      </c>
      <c r="H378" t="s">
        <v>741</v>
      </c>
      <c r="I378" t="s">
        <v>749</v>
      </c>
      <c r="J378" s="1">
        <v>59782812.32</v>
      </c>
      <c r="K378" s="1">
        <v>171487848.06999999</v>
      </c>
      <c r="L378" t="s">
        <v>24</v>
      </c>
      <c r="M378" t="s">
        <v>750</v>
      </c>
    </row>
    <row r="379" spans="1:13" x14ac:dyDescent="0.25">
      <c r="A379" t="s">
        <v>13</v>
      </c>
      <c r="B379" t="s">
        <v>26</v>
      </c>
      <c r="C379">
        <v>7310</v>
      </c>
      <c r="D379" t="s">
        <v>741</v>
      </c>
      <c r="E379" t="str">
        <f>VLOOKUP(D:D,Hoja2!A:B,2,FALSE)</f>
        <v>CONGELADOS ARTICO SA</v>
      </c>
      <c r="F379" t="s">
        <v>17</v>
      </c>
      <c r="G379" t="s">
        <v>18</v>
      </c>
      <c r="H379" t="s">
        <v>741</v>
      </c>
      <c r="I379" t="s">
        <v>133</v>
      </c>
      <c r="J379" s="1">
        <v>29047260</v>
      </c>
      <c r="K379" s="1">
        <v>200535108.06999999</v>
      </c>
      <c r="L379" t="s">
        <v>24</v>
      </c>
      <c r="M379" t="s">
        <v>751</v>
      </c>
    </row>
    <row r="380" spans="1:13" x14ac:dyDescent="0.25">
      <c r="A380" t="s">
        <v>13</v>
      </c>
      <c r="B380" t="s">
        <v>73</v>
      </c>
      <c r="C380">
        <v>10050122</v>
      </c>
      <c r="D380" t="s">
        <v>752</v>
      </c>
      <c r="E380" t="str">
        <f>VLOOKUP(D:D,Hoja2!A:B,2,FALSE)</f>
        <v>MOLIENDAS DEL SUR SA</v>
      </c>
      <c r="F380" t="s">
        <v>20</v>
      </c>
      <c r="G380" t="s">
        <v>61</v>
      </c>
      <c r="H380" t="s">
        <v>752</v>
      </c>
      <c r="I380" t="s">
        <v>753</v>
      </c>
      <c r="J380" s="1">
        <v>2095.71</v>
      </c>
      <c r="K380" s="1">
        <v>2095.71</v>
      </c>
      <c r="L380" t="s">
        <v>76</v>
      </c>
      <c r="M380" t="s">
        <v>754</v>
      </c>
    </row>
    <row r="381" spans="1:13" x14ac:dyDescent="0.25">
      <c r="A381" t="s">
        <v>13</v>
      </c>
      <c r="B381" t="s">
        <v>73</v>
      </c>
      <c r="C381">
        <v>10050123</v>
      </c>
      <c r="D381" t="s">
        <v>752</v>
      </c>
      <c r="E381" t="str">
        <f>VLOOKUP(D:D,Hoja2!A:B,2,FALSE)</f>
        <v>MOLIENDAS DEL SUR SA</v>
      </c>
      <c r="F381" t="s">
        <v>20</v>
      </c>
      <c r="G381" t="s">
        <v>61</v>
      </c>
      <c r="H381" t="s">
        <v>752</v>
      </c>
      <c r="I381" t="s">
        <v>753</v>
      </c>
      <c r="J381" s="1">
        <v>23814.25</v>
      </c>
      <c r="K381" s="1">
        <v>25909.96</v>
      </c>
      <c r="L381" t="s">
        <v>76</v>
      </c>
      <c r="M381" t="s">
        <v>755</v>
      </c>
    </row>
    <row r="382" spans="1:13" x14ac:dyDescent="0.25">
      <c r="A382" t="s">
        <v>13</v>
      </c>
      <c r="B382" t="s">
        <v>73</v>
      </c>
      <c r="C382">
        <v>10050158</v>
      </c>
      <c r="D382" t="s">
        <v>752</v>
      </c>
      <c r="E382" t="str">
        <f>VLOOKUP(D:D,Hoja2!A:B,2,FALSE)</f>
        <v>MOLIENDAS DEL SUR SA</v>
      </c>
      <c r="F382" t="s">
        <v>20</v>
      </c>
      <c r="G382" t="s">
        <v>61</v>
      </c>
      <c r="H382" t="s">
        <v>752</v>
      </c>
      <c r="I382" t="s">
        <v>753</v>
      </c>
      <c r="J382" s="1">
        <v>18694.5</v>
      </c>
      <c r="K382" s="1">
        <v>44604.46</v>
      </c>
      <c r="L382" t="s">
        <v>76</v>
      </c>
      <c r="M382" t="s">
        <v>756</v>
      </c>
    </row>
    <row r="383" spans="1:13" x14ac:dyDescent="0.25">
      <c r="A383" t="s">
        <v>13</v>
      </c>
      <c r="B383" t="s">
        <v>73</v>
      </c>
      <c r="C383">
        <v>10050157</v>
      </c>
      <c r="D383" t="s">
        <v>752</v>
      </c>
      <c r="E383" t="str">
        <f>VLOOKUP(D:D,Hoja2!A:B,2,FALSE)</f>
        <v>MOLIENDAS DEL SUR SA</v>
      </c>
      <c r="F383" t="s">
        <v>20</v>
      </c>
      <c r="G383" t="s">
        <v>61</v>
      </c>
      <c r="H383" t="s">
        <v>752</v>
      </c>
      <c r="I383" t="s">
        <v>757</v>
      </c>
      <c r="J383" s="1">
        <v>37389</v>
      </c>
      <c r="K383" s="1">
        <v>81993.460000000006</v>
      </c>
      <c r="L383" t="s">
        <v>76</v>
      </c>
      <c r="M383" t="s">
        <v>758</v>
      </c>
    </row>
    <row r="384" spans="1:13" x14ac:dyDescent="0.25">
      <c r="A384" t="s">
        <v>13</v>
      </c>
      <c r="B384" t="s">
        <v>73</v>
      </c>
      <c r="C384">
        <v>10050160</v>
      </c>
      <c r="D384" t="s">
        <v>752</v>
      </c>
      <c r="E384" t="str">
        <f>VLOOKUP(D:D,Hoja2!A:B,2,FALSE)</f>
        <v>MOLIENDAS DEL SUR SA</v>
      </c>
      <c r="F384" t="s">
        <v>20</v>
      </c>
      <c r="G384" t="s">
        <v>61</v>
      </c>
      <c r="H384" t="s">
        <v>752</v>
      </c>
      <c r="I384" t="s">
        <v>757</v>
      </c>
      <c r="J384" s="1">
        <v>29040</v>
      </c>
      <c r="K384" s="1">
        <v>111033.46</v>
      </c>
      <c r="L384" t="s">
        <v>76</v>
      </c>
      <c r="M384" t="s">
        <v>759</v>
      </c>
    </row>
    <row r="385" spans="1:13" x14ac:dyDescent="0.25">
      <c r="A385" t="s">
        <v>13</v>
      </c>
      <c r="B385" t="s">
        <v>73</v>
      </c>
      <c r="C385">
        <v>11050159</v>
      </c>
      <c r="D385" t="s">
        <v>752</v>
      </c>
      <c r="E385" t="str">
        <f>VLOOKUP(D:D,Hoja2!A:B,2,FALSE)</f>
        <v>MOLIENDAS DEL SUR SA</v>
      </c>
      <c r="F385" t="s">
        <v>20</v>
      </c>
      <c r="G385" t="s">
        <v>18</v>
      </c>
      <c r="H385" t="s">
        <v>752</v>
      </c>
      <c r="I385" t="s">
        <v>757</v>
      </c>
      <c r="J385" s="1">
        <v>23958</v>
      </c>
      <c r="K385" s="1">
        <v>134991.46</v>
      </c>
      <c r="L385" t="s">
        <v>76</v>
      </c>
      <c r="M385" t="s">
        <v>760</v>
      </c>
    </row>
    <row r="386" spans="1:13" x14ac:dyDescent="0.25">
      <c r="A386" t="s">
        <v>13</v>
      </c>
      <c r="B386" t="s">
        <v>73</v>
      </c>
      <c r="C386">
        <v>1000472</v>
      </c>
      <c r="D386" t="s">
        <v>752</v>
      </c>
      <c r="E386" t="str">
        <f>VLOOKUP(D:D,Hoja2!A:B,2,FALSE)</f>
        <v>MOLIENDAS DEL SUR SA</v>
      </c>
      <c r="F386" t="s">
        <v>20</v>
      </c>
      <c r="G386" t="s">
        <v>61</v>
      </c>
      <c r="H386" t="s">
        <v>752</v>
      </c>
      <c r="I386" t="s">
        <v>761</v>
      </c>
      <c r="J386" s="1">
        <v>30000</v>
      </c>
      <c r="K386" s="1">
        <v>164991.46</v>
      </c>
      <c r="L386" t="s">
        <v>76</v>
      </c>
      <c r="M386" t="s">
        <v>762</v>
      </c>
    </row>
    <row r="387" spans="1:13" x14ac:dyDescent="0.25">
      <c r="A387" t="s">
        <v>13</v>
      </c>
      <c r="B387" t="s">
        <v>73</v>
      </c>
      <c r="C387">
        <v>1000473</v>
      </c>
      <c r="D387" t="s">
        <v>752</v>
      </c>
      <c r="E387" t="str">
        <f>VLOOKUP(D:D,Hoja2!A:B,2,FALSE)</f>
        <v>MOLIENDAS DEL SUR SA</v>
      </c>
      <c r="F387" t="s">
        <v>20</v>
      </c>
      <c r="G387" t="s">
        <v>61</v>
      </c>
      <c r="H387" t="s">
        <v>752</v>
      </c>
      <c r="I387" t="s">
        <v>763</v>
      </c>
      <c r="J387" s="1">
        <v>15000</v>
      </c>
      <c r="K387" s="1">
        <v>179991.46</v>
      </c>
      <c r="L387" t="s">
        <v>76</v>
      </c>
      <c r="M387" t="s">
        <v>764</v>
      </c>
    </row>
    <row r="388" spans="1:13" x14ac:dyDescent="0.25">
      <c r="A388" t="s">
        <v>13</v>
      </c>
      <c r="B388" t="s">
        <v>73</v>
      </c>
      <c r="C388">
        <v>10000474</v>
      </c>
      <c r="D388" t="s">
        <v>752</v>
      </c>
      <c r="E388" t="str">
        <f>VLOOKUP(D:D,Hoja2!A:B,2,FALSE)</f>
        <v>MOLIENDAS DEL SUR SA</v>
      </c>
      <c r="F388" t="s">
        <v>20</v>
      </c>
      <c r="G388" t="s">
        <v>61</v>
      </c>
      <c r="H388" t="s">
        <v>752</v>
      </c>
      <c r="I388" t="s">
        <v>763</v>
      </c>
      <c r="J388" s="1">
        <v>36.299999999999997</v>
      </c>
      <c r="K388" s="1">
        <v>180027.76</v>
      </c>
      <c r="L388" t="s">
        <v>76</v>
      </c>
      <c r="M388" t="s">
        <v>765</v>
      </c>
    </row>
    <row r="389" spans="1:13" x14ac:dyDescent="0.25">
      <c r="A389" t="s">
        <v>13</v>
      </c>
      <c r="B389" t="s">
        <v>73</v>
      </c>
      <c r="C389">
        <v>10000475</v>
      </c>
      <c r="D389" t="s">
        <v>752</v>
      </c>
      <c r="E389" t="str">
        <f>VLOOKUP(D:D,Hoja2!A:B,2,FALSE)</f>
        <v>MOLIENDAS DEL SUR SA</v>
      </c>
      <c r="F389" t="s">
        <v>20</v>
      </c>
      <c r="G389" t="s">
        <v>61</v>
      </c>
      <c r="H389" t="s">
        <v>752</v>
      </c>
      <c r="I389" t="s">
        <v>766</v>
      </c>
      <c r="J389" s="1">
        <v>14791.86</v>
      </c>
      <c r="K389" s="1">
        <v>194819.62</v>
      </c>
      <c r="L389" t="s">
        <v>76</v>
      </c>
      <c r="M389" t="s">
        <v>767</v>
      </c>
    </row>
    <row r="390" spans="1:13" x14ac:dyDescent="0.25">
      <c r="A390" t="s">
        <v>13</v>
      </c>
      <c r="B390" t="s">
        <v>73</v>
      </c>
      <c r="C390">
        <v>10000476</v>
      </c>
      <c r="D390" t="s">
        <v>752</v>
      </c>
      <c r="E390" t="str">
        <f>VLOOKUP(D:D,Hoja2!A:B,2,FALSE)</f>
        <v>MOLIENDAS DEL SUR SA</v>
      </c>
      <c r="F390" t="s">
        <v>20</v>
      </c>
      <c r="G390" t="s">
        <v>61</v>
      </c>
      <c r="H390" t="s">
        <v>752</v>
      </c>
      <c r="I390" t="s">
        <v>766</v>
      </c>
      <c r="J390" s="1">
        <v>18.149999999999999</v>
      </c>
      <c r="K390" s="1">
        <v>194837.77</v>
      </c>
      <c r="L390" t="s">
        <v>76</v>
      </c>
      <c r="M390" t="s">
        <v>768</v>
      </c>
    </row>
    <row r="391" spans="1:13" x14ac:dyDescent="0.25">
      <c r="A391" t="s">
        <v>13</v>
      </c>
      <c r="B391" t="s">
        <v>73</v>
      </c>
      <c r="C391">
        <v>10050229</v>
      </c>
      <c r="D391" t="s">
        <v>752</v>
      </c>
      <c r="E391" t="str">
        <f>VLOOKUP(D:D,Hoja2!A:B,2,FALSE)</f>
        <v>MOLIENDAS DEL SUR SA</v>
      </c>
      <c r="F391" t="s">
        <v>20</v>
      </c>
      <c r="G391" t="s">
        <v>61</v>
      </c>
      <c r="H391" t="s">
        <v>752</v>
      </c>
      <c r="I391" t="s">
        <v>766</v>
      </c>
      <c r="J391" s="1">
        <v>37762.89</v>
      </c>
      <c r="K391" s="1">
        <v>232600.66</v>
      </c>
      <c r="L391" t="s">
        <v>76</v>
      </c>
      <c r="M391" t="s">
        <v>769</v>
      </c>
    </row>
    <row r="392" spans="1:13" x14ac:dyDescent="0.25">
      <c r="A392" t="s">
        <v>13</v>
      </c>
      <c r="B392" t="s">
        <v>73</v>
      </c>
      <c r="C392">
        <v>10050230</v>
      </c>
      <c r="D392" t="s">
        <v>752</v>
      </c>
      <c r="E392" t="str">
        <f>VLOOKUP(D:D,Hoja2!A:B,2,FALSE)</f>
        <v>MOLIENDAS DEL SUR SA</v>
      </c>
      <c r="F392" t="s">
        <v>20</v>
      </c>
      <c r="G392" t="s">
        <v>61</v>
      </c>
      <c r="H392" t="s">
        <v>752</v>
      </c>
      <c r="I392" t="s">
        <v>766</v>
      </c>
      <c r="J392" s="1">
        <v>28963.77</v>
      </c>
      <c r="K392" s="1">
        <v>261564.43</v>
      </c>
      <c r="L392" t="s">
        <v>76</v>
      </c>
      <c r="M392" t="s">
        <v>770</v>
      </c>
    </row>
    <row r="393" spans="1:13" x14ac:dyDescent="0.25">
      <c r="A393" t="s">
        <v>13</v>
      </c>
      <c r="B393" t="s">
        <v>73</v>
      </c>
      <c r="C393">
        <v>10050231</v>
      </c>
      <c r="D393" t="s">
        <v>752</v>
      </c>
      <c r="E393" t="str">
        <f>VLOOKUP(D:D,Hoja2!A:B,2,FALSE)</f>
        <v>MOLIENDAS DEL SUR SA</v>
      </c>
      <c r="F393" t="s">
        <v>20</v>
      </c>
      <c r="G393" t="s">
        <v>61</v>
      </c>
      <c r="H393" t="s">
        <v>752</v>
      </c>
      <c r="I393" t="s">
        <v>766</v>
      </c>
      <c r="J393" s="1">
        <v>37396.26</v>
      </c>
      <c r="K393" s="1">
        <v>298960.69</v>
      </c>
      <c r="L393" t="s">
        <v>76</v>
      </c>
      <c r="M393" t="s">
        <v>771</v>
      </c>
    </row>
    <row r="394" spans="1:13" x14ac:dyDescent="0.25">
      <c r="A394" t="s">
        <v>13</v>
      </c>
      <c r="B394" t="s">
        <v>73</v>
      </c>
      <c r="C394">
        <v>10000477</v>
      </c>
      <c r="D394" t="s">
        <v>752</v>
      </c>
      <c r="E394" t="str">
        <f>VLOOKUP(D:D,Hoja2!A:B,2,FALSE)</f>
        <v>MOLIENDAS DEL SUR SA</v>
      </c>
      <c r="F394" t="s">
        <v>20</v>
      </c>
      <c r="G394" t="s">
        <v>61</v>
      </c>
      <c r="H394" t="s">
        <v>752</v>
      </c>
      <c r="I394" t="s">
        <v>772</v>
      </c>
      <c r="J394" s="1">
        <v>15000</v>
      </c>
      <c r="K394" s="1">
        <v>313960.69</v>
      </c>
      <c r="L394" t="s">
        <v>76</v>
      </c>
      <c r="M394" t="s">
        <v>773</v>
      </c>
    </row>
    <row r="395" spans="1:13" x14ac:dyDescent="0.25">
      <c r="A395" t="s">
        <v>13</v>
      </c>
      <c r="B395" t="s">
        <v>73</v>
      </c>
      <c r="C395">
        <v>10000478</v>
      </c>
      <c r="D395" t="s">
        <v>752</v>
      </c>
      <c r="E395" t="str">
        <f>VLOOKUP(D:D,Hoja2!A:B,2,FALSE)</f>
        <v>MOLIENDAS DEL SUR SA</v>
      </c>
      <c r="F395" t="s">
        <v>20</v>
      </c>
      <c r="G395" t="s">
        <v>61</v>
      </c>
      <c r="H395" t="s">
        <v>752</v>
      </c>
      <c r="I395" t="s">
        <v>772</v>
      </c>
      <c r="J395" s="1">
        <v>36.299999999999997</v>
      </c>
      <c r="K395" s="1">
        <v>313996.99</v>
      </c>
      <c r="L395" t="s">
        <v>76</v>
      </c>
      <c r="M395" t="s">
        <v>774</v>
      </c>
    </row>
    <row r="396" spans="1:13" x14ac:dyDescent="0.25">
      <c r="A396" t="s">
        <v>13</v>
      </c>
      <c r="B396" t="s">
        <v>73</v>
      </c>
      <c r="C396">
        <v>10000479</v>
      </c>
      <c r="D396" t="s">
        <v>752</v>
      </c>
      <c r="E396" t="str">
        <f>VLOOKUP(D:D,Hoja2!A:B,2,FALSE)</f>
        <v>MOLIENDAS DEL SUR SA</v>
      </c>
      <c r="F396" t="s">
        <v>20</v>
      </c>
      <c r="G396" t="s">
        <v>61</v>
      </c>
      <c r="H396" t="s">
        <v>752</v>
      </c>
      <c r="I396" t="s">
        <v>772</v>
      </c>
      <c r="J396" s="1">
        <v>15000</v>
      </c>
      <c r="K396" s="1">
        <v>328996.99</v>
      </c>
      <c r="L396" t="s">
        <v>76</v>
      </c>
      <c r="M396" t="s">
        <v>775</v>
      </c>
    </row>
    <row r="397" spans="1:13" x14ac:dyDescent="0.25">
      <c r="A397" t="s">
        <v>13</v>
      </c>
      <c r="B397" t="s">
        <v>73</v>
      </c>
      <c r="C397">
        <v>10000480</v>
      </c>
      <c r="D397" t="s">
        <v>752</v>
      </c>
      <c r="E397" t="str">
        <f>VLOOKUP(D:D,Hoja2!A:B,2,FALSE)</f>
        <v>MOLIENDAS DEL SUR SA</v>
      </c>
      <c r="F397" t="s">
        <v>20</v>
      </c>
      <c r="G397" t="s">
        <v>61</v>
      </c>
      <c r="H397" t="s">
        <v>752</v>
      </c>
      <c r="I397" t="s">
        <v>772</v>
      </c>
      <c r="J397" s="1">
        <v>36.299999999999997</v>
      </c>
      <c r="K397" s="1">
        <v>329033.28999999998</v>
      </c>
      <c r="L397" t="s">
        <v>76</v>
      </c>
      <c r="M397" t="s">
        <v>776</v>
      </c>
    </row>
    <row r="398" spans="1:13" x14ac:dyDescent="0.25">
      <c r="A398" t="s">
        <v>13</v>
      </c>
      <c r="B398" t="s">
        <v>73</v>
      </c>
      <c r="C398">
        <v>10000481</v>
      </c>
      <c r="D398" t="s">
        <v>752</v>
      </c>
      <c r="E398" t="str">
        <f>VLOOKUP(D:D,Hoja2!A:B,2,FALSE)</f>
        <v>MOLIENDAS DEL SUR SA</v>
      </c>
      <c r="F398" t="s">
        <v>20</v>
      </c>
      <c r="G398" t="s">
        <v>61</v>
      </c>
      <c r="H398" t="s">
        <v>752</v>
      </c>
      <c r="I398" t="s">
        <v>777</v>
      </c>
      <c r="J398" s="1">
        <v>14791.88</v>
      </c>
      <c r="K398" s="1">
        <v>343825.17</v>
      </c>
      <c r="L398" t="s">
        <v>76</v>
      </c>
      <c r="M398" t="s">
        <v>778</v>
      </c>
    </row>
    <row r="399" spans="1:13" x14ac:dyDescent="0.25">
      <c r="A399" t="s">
        <v>13</v>
      </c>
      <c r="B399" t="s">
        <v>73</v>
      </c>
      <c r="C399">
        <v>10000482</v>
      </c>
      <c r="D399" t="s">
        <v>752</v>
      </c>
      <c r="E399" t="str">
        <f>VLOOKUP(D:D,Hoja2!A:B,2,FALSE)</f>
        <v>MOLIENDAS DEL SUR SA</v>
      </c>
      <c r="F399" t="s">
        <v>20</v>
      </c>
      <c r="G399" t="s">
        <v>61</v>
      </c>
      <c r="H399" t="s">
        <v>752</v>
      </c>
      <c r="I399" t="s">
        <v>777</v>
      </c>
      <c r="J399" s="1">
        <v>24.2</v>
      </c>
      <c r="K399" s="1">
        <v>343849.37</v>
      </c>
      <c r="L399" t="s">
        <v>76</v>
      </c>
      <c r="M399" t="s">
        <v>779</v>
      </c>
    </row>
    <row r="400" spans="1:13" x14ac:dyDescent="0.25">
      <c r="A400" t="s">
        <v>13</v>
      </c>
      <c r="B400" t="s">
        <v>73</v>
      </c>
      <c r="C400">
        <v>10000483</v>
      </c>
      <c r="D400" t="s">
        <v>752</v>
      </c>
      <c r="E400" t="str">
        <f>VLOOKUP(D:D,Hoja2!A:B,2,FALSE)</f>
        <v>MOLIENDAS DEL SUR SA</v>
      </c>
      <c r="F400" t="s">
        <v>20</v>
      </c>
      <c r="G400" t="s">
        <v>61</v>
      </c>
      <c r="H400" t="s">
        <v>752</v>
      </c>
      <c r="I400" t="s">
        <v>780</v>
      </c>
      <c r="J400" s="1">
        <v>14791.88</v>
      </c>
      <c r="K400" s="1">
        <v>358641.25</v>
      </c>
      <c r="L400" t="s">
        <v>76</v>
      </c>
      <c r="M400" t="s">
        <v>781</v>
      </c>
    </row>
    <row r="401" spans="1:13" x14ac:dyDescent="0.25">
      <c r="A401" t="s">
        <v>13</v>
      </c>
      <c r="B401" t="s">
        <v>73</v>
      </c>
      <c r="C401">
        <v>10000484</v>
      </c>
      <c r="D401" t="s">
        <v>752</v>
      </c>
      <c r="E401" t="str">
        <f>VLOOKUP(D:D,Hoja2!A:B,2,FALSE)</f>
        <v>MOLIENDAS DEL SUR SA</v>
      </c>
      <c r="F401" t="s">
        <v>20</v>
      </c>
      <c r="G401" t="s">
        <v>61</v>
      </c>
      <c r="H401" t="s">
        <v>752</v>
      </c>
      <c r="I401" t="s">
        <v>780</v>
      </c>
      <c r="J401" s="1">
        <v>60.5</v>
      </c>
      <c r="K401" s="1">
        <v>358701.75</v>
      </c>
      <c r="L401" t="s">
        <v>76</v>
      </c>
      <c r="M401" t="s">
        <v>782</v>
      </c>
    </row>
    <row r="402" spans="1:13" x14ac:dyDescent="0.25">
      <c r="A402" t="s">
        <v>13</v>
      </c>
      <c r="B402" t="s">
        <v>73</v>
      </c>
      <c r="C402">
        <v>10000485</v>
      </c>
      <c r="D402" t="s">
        <v>752</v>
      </c>
      <c r="E402" t="str">
        <f>VLOOKUP(D:D,Hoja2!A:B,2,FALSE)</f>
        <v>MOLIENDAS DEL SUR SA</v>
      </c>
      <c r="F402" t="s">
        <v>20</v>
      </c>
      <c r="G402" t="s">
        <v>61</v>
      </c>
      <c r="H402" t="s">
        <v>752</v>
      </c>
      <c r="I402" t="s">
        <v>783</v>
      </c>
      <c r="J402" s="1">
        <v>14791.88</v>
      </c>
      <c r="K402" s="1">
        <v>373493.63</v>
      </c>
      <c r="L402" t="s">
        <v>76</v>
      </c>
      <c r="M402" t="s">
        <v>784</v>
      </c>
    </row>
    <row r="403" spans="1:13" x14ac:dyDescent="0.25">
      <c r="A403" t="s">
        <v>13</v>
      </c>
      <c r="B403" t="s">
        <v>73</v>
      </c>
      <c r="C403">
        <v>10000486</v>
      </c>
      <c r="D403" t="s">
        <v>752</v>
      </c>
      <c r="E403" t="str">
        <f>VLOOKUP(D:D,Hoja2!A:B,2,FALSE)</f>
        <v>MOLIENDAS DEL SUR SA</v>
      </c>
      <c r="F403" t="s">
        <v>20</v>
      </c>
      <c r="G403" t="s">
        <v>61</v>
      </c>
      <c r="H403" t="s">
        <v>752</v>
      </c>
      <c r="I403" t="s">
        <v>783</v>
      </c>
      <c r="J403" s="1">
        <v>72.599999999999994</v>
      </c>
      <c r="K403" s="1">
        <v>373566.23</v>
      </c>
      <c r="L403" t="s">
        <v>76</v>
      </c>
      <c r="M403" t="s">
        <v>785</v>
      </c>
    </row>
    <row r="404" spans="1:13" x14ac:dyDescent="0.25">
      <c r="A404" t="s">
        <v>13</v>
      </c>
      <c r="B404" t="s">
        <v>73</v>
      </c>
      <c r="C404">
        <v>10000487</v>
      </c>
      <c r="D404" t="s">
        <v>752</v>
      </c>
      <c r="E404" t="str">
        <f>VLOOKUP(D:D,Hoja2!A:B,2,FALSE)</f>
        <v>MOLIENDAS DEL SUR SA</v>
      </c>
      <c r="F404" t="s">
        <v>20</v>
      </c>
      <c r="G404" t="s">
        <v>61</v>
      </c>
      <c r="H404" t="s">
        <v>752</v>
      </c>
      <c r="I404" t="s">
        <v>786</v>
      </c>
      <c r="J404" s="1">
        <v>15463.08</v>
      </c>
      <c r="K404" s="1">
        <v>389029.31</v>
      </c>
      <c r="L404" t="s">
        <v>76</v>
      </c>
      <c r="M404" t="s">
        <v>787</v>
      </c>
    </row>
    <row r="405" spans="1:13" x14ac:dyDescent="0.25">
      <c r="A405" t="s">
        <v>13</v>
      </c>
      <c r="B405" t="s">
        <v>73</v>
      </c>
      <c r="C405">
        <v>10000488</v>
      </c>
      <c r="D405" t="s">
        <v>752</v>
      </c>
      <c r="E405" t="str">
        <f>VLOOKUP(D:D,Hoja2!A:B,2,FALSE)</f>
        <v>MOLIENDAS DEL SUR SA</v>
      </c>
      <c r="F405" t="s">
        <v>20</v>
      </c>
      <c r="G405" t="s">
        <v>61</v>
      </c>
      <c r="H405" t="s">
        <v>752</v>
      </c>
      <c r="I405" t="s">
        <v>786</v>
      </c>
      <c r="J405" s="1">
        <v>99.99</v>
      </c>
      <c r="K405" s="1">
        <v>389129.3</v>
      </c>
      <c r="L405" t="s">
        <v>76</v>
      </c>
      <c r="M405" t="s">
        <v>788</v>
      </c>
    </row>
    <row r="406" spans="1:13" x14ac:dyDescent="0.25">
      <c r="A406" t="s">
        <v>13</v>
      </c>
      <c r="B406" t="s">
        <v>73</v>
      </c>
      <c r="C406">
        <v>10000489</v>
      </c>
      <c r="D406" t="s">
        <v>752</v>
      </c>
      <c r="E406" t="str">
        <f>VLOOKUP(D:D,Hoja2!A:B,2,FALSE)</f>
        <v>MOLIENDAS DEL SUR SA</v>
      </c>
      <c r="F406" t="s">
        <v>20</v>
      </c>
      <c r="G406" t="s">
        <v>61</v>
      </c>
      <c r="H406" t="s">
        <v>752</v>
      </c>
      <c r="I406" t="s">
        <v>789</v>
      </c>
      <c r="J406" s="1">
        <v>15000</v>
      </c>
      <c r="K406" s="1">
        <v>404129.3</v>
      </c>
      <c r="L406" t="s">
        <v>76</v>
      </c>
      <c r="M406" t="s">
        <v>790</v>
      </c>
    </row>
    <row r="407" spans="1:13" x14ac:dyDescent="0.25">
      <c r="A407" t="s">
        <v>13</v>
      </c>
      <c r="B407" t="s">
        <v>73</v>
      </c>
      <c r="C407">
        <v>10000490</v>
      </c>
      <c r="D407" t="s">
        <v>752</v>
      </c>
      <c r="E407" t="str">
        <f>VLOOKUP(D:D,Hoja2!A:B,2,FALSE)</f>
        <v>MOLIENDAS DEL SUR SA</v>
      </c>
      <c r="F407" t="s">
        <v>20</v>
      </c>
      <c r="G407" t="s">
        <v>61</v>
      </c>
      <c r="H407" t="s">
        <v>752</v>
      </c>
      <c r="I407" t="s">
        <v>789</v>
      </c>
      <c r="J407" s="1">
        <v>48.4</v>
      </c>
      <c r="K407" s="1">
        <v>404177.7</v>
      </c>
      <c r="L407" t="s">
        <v>76</v>
      </c>
      <c r="M407" t="s">
        <v>791</v>
      </c>
    </row>
    <row r="408" spans="1:13" x14ac:dyDescent="0.25">
      <c r="A408" t="s">
        <v>13</v>
      </c>
      <c r="B408" t="s">
        <v>73</v>
      </c>
      <c r="C408">
        <v>10000491</v>
      </c>
      <c r="D408" t="s">
        <v>752</v>
      </c>
      <c r="E408" t="str">
        <f>VLOOKUP(D:D,Hoja2!A:B,2,FALSE)</f>
        <v>MOLIENDAS DEL SUR SA</v>
      </c>
      <c r="F408" t="s">
        <v>20</v>
      </c>
      <c r="G408" t="s">
        <v>61</v>
      </c>
      <c r="H408" t="s">
        <v>752</v>
      </c>
      <c r="I408" t="s">
        <v>792</v>
      </c>
      <c r="J408" s="1">
        <v>10000</v>
      </c>
      <c r="K408" s="1">
        <v>414177.7</v>
      </c>
      <c r="L408" t="s">
        <v>76</v>
      </c>
      <c r="M408" t="s">
        <v>793</v>
      </c>
    </row>
    <row r="409" spans="1:13" x14ac:dyDescent="0.25">
      <c r="A409" t="s">
        <v>13</v>
      </c>
      <c r="B409" t="s">
        <v>73</v>
      </c>
      <c r="C409">
        <v>10000492</v>
      </c>
      <c r="D409" t="s">
        <v>752</v>
      </c>
      <c r="E409" t="str">
        <f>VLOOKUP(D:D,Hoja2!A:B,2,FALSE)</f>
        <v>MOLIENDAS DEL SUR SA</v>
      </c>
      <c r="F409" t="s">
        <v>20</v>
      </c>
      <c r="G409" t="s">
        <v>61</v>
      </c>
      <c r="H409" t="s">
        <v>752</v>
      </c>
      <c r="I409" t="s">
        <v>792</v>
      </c>
      <c r="J409" s="1">
        <v>30.25</v>
      </c>
      <c r="K409" s="1">
        <v>414207.95</v>
      </c>
      <c r="L409" t="s">
        <v>76</v>
      </c>
      <c r="M409" t="s">
        <v>794</v>
      </c>
    </row>
    <row r="410" spans="1:13" x14ac:dyDescent="0.25">
      <c r="A410" t="s">
        <v>13</v>
      </c>
      <c r="B410" t="s">
        <v>73</v>
      </c>
      <c r="C410">
        <v>10000493</v>
      </c>
      <c r="D410" t="s">
        <v>752</v>
      </c>
      <c r="E410" t="str">
        <f>VLOOKUP(D:D,Hoja2!A:B,2,FALSE)</f>
        <v>MOLIENDAS DEL SUR SA</v>
      </c>
      <c r="F410" t="s">
        <v>20</v>
      </c>
      <c r="G410" t="s">
        <v>61</v>
      </c>
      <c r="H410" t="s">
        <v>752</v>
      </c>
      <c r="I410" t="s">
        <v>792</v>
      </c>
      <c r="J410" s="1">
        <v>14791.88</v>
      </c>
      <c r="K410" s="1">
        <v>428999.83</v>
      </c>
      <c r="L410" t="s">
        <v>76</v>
      </c>
      <c r="M410" t="s">
        <v>795</v>
      </c>
    </row>
    <row r="411" spans="1:13" x14ac:dyDescent="0.25">
      <c r="A411" t="s">
        <v>13</v>
      </c>
      <c r="B411" t="s">
        <v>73</v>
      </c>
      <c r="C411">
        <v>10000494</v>
      </c>
      <c r="D411" t="s">
        <v>752</v>
      </c>
      <c r="E411" t="str">
        <f>VLOOKUP(D:D,Hoja2!A:B,2,FALSE)</f>
        <v>MOLIENDAS DEL SUR SA</v>
      </c>
      <c r="F411" t="s">
        <v>20</v>
      </c>
      <c r="G411" t="s">
        <v>61</v>
      </c>
      <c r="H411" t="s">
        <v>752</v>
      </c>
      <c r="I411" t="s">
        <v>792</v>
      </c>
      <c r="J411" s="1">
        <v>30.25</v>
      </c>
      <c r="K411" s="1">
        <v>429030.08</v>
      </c>
      <c r="L411" t="s">
        <v>76</v>
      </c>
      <c r="M411" t="s">
        <v>796</v>
      </c>
    </row>
    <row r="412" spans="1:13" x14ac:dyDescent="0.25">
      <c r="A412" t="s">
        <v>13</v>
      </c>
      <c r="B412" t="s">
        <v>73</v>
      </c>
      <c r="C412">
        <v>10000495</v>
      </c>
      <c r="D412" t="s">
        <v>752</v>
      </c>
      <c r="E412" t="str">
        <f>VLOOKUP(D:D,Hoja2!A:B,2,FALSE)</f>
        <v>MOLIENDAS DEL SUR SA</v>
      </c>
      <c r="F412" t="s">
        <v>20</v>
      </c>
      <c r="G412" t="s">
        <v>61</v>
      </c>
      <c r="H412" t="s">
        <v>752</v>
      </c>
      <c r="I412" t="s">
        <v>797</v>
      </c>
      <c r="J412" s="1">
        <v>15000</v>
      </c>
      <c r="K412" s="1">
        <v>444030.08</v>
      </c>
      <c r="L412" t="s">
        <v>76</v>
      </c>
      <c r="M412" t="s">
        <v>798</v>
      </c>
    </row>
    <row r="413" spans="1:13" x14ac:dyDescent="0.25">
      <c r="A413" t="s">
        <v>13</v>
      </c>
      <c r="B413" t="s">
        <v>73</v>
      </c>
      <c r="C413">
        <v>10000496</v>
      </c>
      <c r="D413" t="s">
        <v>752</v>
      </c>
      <c r="E413" t="str">
        <f>VLOOKUP(D:D,Hoja2!A:B,2,FALSE)</f>
        <v>MOLIENDAS DEL SUR SA</v>
      </c>
      <c r="F413" t="s">
        <v>20</v>
      </c>
      <c r="G413" t="s">
        <v>61</v>
      </c>
      <c r="H413" t="s">
        <v>752</v>
      </c>
      <c r="I413" t="s">
        <v>797</v>
      </c>
      <c r="J413" s="1">
        <v>36.299999999999997</v>
      </c>
      <c r="K413" s="1">
        <v>444066.38</v>
      </c>
      <c r="L413" t="s">
        <v>76</v>
      </c>
      <c r="M413" t="s">
        <v>799</v>
      </c>
    </row>
    <row r="414" spans="1:13" x14ac:dyDescent="0.25">
      <c r="A414" t="s">
        <v>13</v>
      </c>
      <c r="B414" t="s">
        <v>73</v>
      </c>
      <c r="C414">
        <v>10000497</v>
      </c>
      <c r="D414" t="s">
        <v>752</v>
      </c>
      <c r="E414" t="str">
        <f>VLOOKUP(D:D,Hoja2!A:B,2,FALSE)</f>
        <v>MOLIENDAS DEL SUR SA</v>
      </c>
      <c r="F414" t="s">
        <v>20</v>
      </c>
      <c r="G414" t="s">
        <v>61</v>
      </c>
      <c r="H414" t="s">
        <v>752</v>
      </c>
      <c r="I414" t="s">
        <v>797</v>
      </c>
      <c r="J414" s="1">
        <v>14791.88</v>
      </c>
      <c r="K414" s="1">
        <v>458858.26</v>
      </c>
      <c r="L414" t="s">
        <v>76</v>
      </c>
      <c r="M414" t="s">
        <v>800</v>
      </c>
    </row>
    <row r="415" spans="1:13" x14ac:dyDescent="0.25">
      <c r="A415" t="s">
        <v>13</v>
      </c>
      <c r="B415" t="s">
        <v>73</v>
      </c>
      <c r="C415">
        <v>10000498</v>
      </c>
      <c r="D415" t="s">
        <v>752</v>
      </c>
      <c r="E415" t="str">
        <f>VLOOKUP(D:D,Hoja2!A:B,2,FALSE)</f>
        <v>MOLIENDAS DEL SUR SA</v>
      </c>
      <c r="F415" t="s">
        <v>20</v>
      </c>
      <c r="G415" t="s">
        <v>61</v>
      </c>
      <c r="H415" t="s">
        <v>752</v>
      </c>
      <c r="I415" t="s">
        <v>797</v>
      </c>
      <c r="J415" s="1">
        <v>14791.88</v>
      </c>
      <c r="K415" s="1">
        <v>473650.14</v>
      </c>
      <c r="L415" t="s">
        <v>76</v>
      </c>
      <c r="M415" t="s">
        <v>801</v>
      </c>
    </row>
    <row r="416" spans="1:13" x14ac:dyDescent="0.25">
      <c r="A416" t="s">
        <v>13</v>
      </c>
      <c r="B416" t="s">
        <v>73</v>
      </c>
      <c r="C416">
        <v>10000499</v>
      </c>
      <c r="D416" t="s">
        <v>752</v>
      </c>
      <c r="E416" t="str">
        <f>VLOOKUP(D:D,Hoja2!A:B,2,FALSE)</f>
        <v>MOLIENDAS DEL SUR SA</v>
      </c>
      <c r="F416" t="s">
        <v>20</v>
      </c>
      <c r="G416" t="s">
        <v>61</v>
      </c>
      <c r="H416" t="s">
        <v>752</v>
      </c>
      <c r="I416" t="s">
        <v>797</v>
      </c>
      <c r="J416" s="1">
        <v>14791.88</v>
      </c>
      <c r="K416" s="1">
        <v>488442.02</v>
      </c>
      <c r="L416" t="s">
        <v>76</v>
      </c>
      <c r="M416" t="s">
        <v>802</v>
      </c>
    </row>
    <row r="417" spans="1:13" x14ac:dyDescent="0.25">
      <c r="A417" t="s">
        <v>13</v>
      </c>
      <c r="B417" t="s">
        <v>73</v>
      </c>
      <c r="C417">
        <v>10000500</v>
      </c>
      <c r="D417" t="s">
        <v>752</v>
      </c>
      <c r="E417" t="str">
        <f>VLOOKUP(D:D,Hoja2!A:B,2,FALSE)</f>
        <v>MOLIENDAS DEL SUR SA</v>
      </c>
      <c r="F417" t="s">
        <v>20</v>
      </c>
      <c r="G417" t="s">
        <v>61</v>
      </c>
      <c r="H417" t="s">
        <v>752</v>
      </c>
      <c r="I417" t="s">
        <v>797</v>
      </c>
      <c r="J417" s="1">
        <v>90.75</v>
      </c>
      <c r="K417" s="1">
        <v>488532.77</v>
      </c>
      <c r="L417" t="s">
        <v>76</v>
      </c>
      <c r="M417" t="s">
        <v>803</v>
      </c>
    </row>
    <row r="418" spans="1:13" x14ac:dyDescent="0.25">
      <c r="A418" t="s">
        <v>13</v>
      </c>
      <c r="B418" t="s">
        <v>73</v>
      </c>
      <c r="C418">
        <v>10000501</v>
      </c>
      <c r="D418" t="s">
        <v>752</v>
      </c>
      <c r="E418" t="str">
        <f>VLOOKUP(D:D,Hoja2!A:B,2,FALSE)</f>
        <v>MOLIENDAS DEL SUR SA</v>
      </c>
      <c r="F418" t="s">
        <v>20</v>
      </c>
      <c r="G418" t="s">
        <v>61</v>
      </c>
      <c r="H418" t="s">
        <v>752</v>
      </c>
      <c r="I418" t="s">
        <v>804</v>
      </c>
      <c r="J418" s="1">
        <v>14791.88</v>
      </c>
      <c r="K418" s="1">
        <v>503324.65</v>
      </c>
      <c r="L418" t="s">
        <v>76</v>
      </c>
      <c r="M418" t="s">
        <v>805</v>
      </c>
    </row>
    <row r="419" spans="1:13" x14ac:dyDescent="0.25">
      <c r="A419" t="s">
        <v>13</v>
      </c>
      <c r="B419" t="s">
        <v>73</v>
      </c>
      <c r="C419">
        <v>10000502</v>
      </c>
      <c r="D419" t="s">
        <v>752</v>
      </c>
      <c r="E419" t="str">
        <f>VLOOKUP(D:D,Hoja2!A:B,2,FALSE)</f>
        <v>MOLIENDAS DEL SUR SA</v>
      </c>
      <c r="F419" t="s">
        <v>20</v>
      </c>
      <c r="G419" t="s">
        <v>61</v>
      </c>
      <c r="H419" t="s">
        <v>752</v>
      </c>
      <c r="I419" t="s">
        <v>804</v>
      </c>
      <c r="J419" s="1">
        <v>8317.2800000000007</v>
      </c>
      <c r="K419" s="1">
        <v>511641.93</v>
      </c>
      <c r="L419" t="s">
        <v>76</v>
      </c>
      <c r="M419" t="s">
        <v>806</v>
      </c>
    </row>
    <row r="420" spans="1:13" x14ac:dyDescent="0.25">
      <c r="A420" t="s">
        <v>13</v>
      </c>
      <c r="B420" t="s">
        <v>73</v>
      </c>
      <c r="C420">
        <v>10000503</v>
      </c>
      <c r="D420" t="s">
        <v>752</v>
      </c>
      <c r="E420" t="str">
        <f>VLOOKUP(D:D,Hoja2!A:B,2,FALSE)</f>
        <v>MOLIENDAS DEL SUR SA</v>
      </c>
      <c r="F420" t="s">
        <v>20</v>
      </c>
      <c r="G420" t="s">
        <v>61</v>
      </c>
      <c r="H420" t="s">
        <v>752</v>
      </c>
      <c r="I420" t="s">
        <v>804</v>
      </c>
      <c r="J420" s="1">
        <v>9154.57</v>
      </c>
      <c r="K420" s="1">
        <v>520796.5</v>
      </c>
      <c r="L420" t="s">
        <v>76</v>
      </c>
      <c r="M420" t="s">
        <v>807</v>
      </c>
    </row>
    <row r="421" spans="1:13" x14ac:dyDescent="0.25">
      <c r="A421" t="s">
        <v>13</v>
      </c>
      <c r="B421" t="s">
        <v>73</v>
      </c>
      <c r="C421">
        <v>10000504</v>
      </c>
      <c r="D421" t="s">
        <v>752</v>
      </c>
      <c r="E421" t="str">
        <f>VLOOKUP(D:D,Hoja2!A:B,2,FALSE)</f>
        <v>MOLIENDAS DEL SUR SA</v>
      </c>
      <c r="F421" t="s">
        <v>20</v>
      </c>
      <c r="G421" t="s">
        <v>61</v>
      </c>
      <c r="H421" t="s">
        <v>752</v>
      </c>
      <c r="I421" t="s">
        <v>804</v>
      </c>
      <c r="J421" s="1">
        <v>134.01</v>
      </c>
      <c r="K421" s="1">
        <v>520930.51</v>
      </c>
      <c r="L421" t="s">
        <v>76</v>
      </c>
      <c r="M421" t="s">
        <v>808</v>
      </c>
    </row>
    <row r="422" spans="1:13" x14ac:dyDescent="0.25">
      <c r="A422" t="s">
        <v>13</v>
      </c>
      <c r="B422" t="s">
        <v>73</v>
      </c>
      <c r="C422">
        <v>10000505</v>
      </c>
      <c r="D422" t="s">
        <v>752</v>
      </c>
      <c r="E422" t="str">
        <f>VLOOKUP(D:D,Hoja2!A:B,2,FALSE)</f>
        <v>MOLIENDAS DEL SUR SA</v>
      </c>
      <c r="F422" t="s">
        <v>20</v>
      </c>
      <c r="G422" t="s">
        <v>61</v>
      </c>
      <c r="H422" t="s">
        <v>752</v>
      </c>
      <c r="I422" t="s">
        <v>809</v>
      </c>
      <c r="J422" s="1">
        <v>23791.88</v>
      </c>
      <c r="K422" s="1">
        <v>544722.39</v>
      </c>
      <c r="L422" t="s">
        <v>76</v>
      </c>
      <c r="M422" t="s">
        <v>810</v>
      </c>
    </row>
    <row r="423" spans="1:13" x14ac:dyDescent="0.25">
      <c r="A423" t="s">
        <v>13</v>
      </c>
      <c r="B423" t="s">
        <v>73</v>
      </c>
      <c r="C423">
        <v>10000506</v>
      </c>
      <c r="D423" t="s">
        <v>752</v>
      </c>
      <c r="E423" t="str">
        <f>VLOOKUP(D:D,Hoja2!A:B,2,FALSE)</f>
        <v>MOLIENDAS DEL SUR SA</v>
      </c>
      <c r="F423" t="s">
        <v>20</v>
      </c>
      <c r="G423" t="s">
        <v>61</v>
      </c>
      <c r="H423" t="s">
        <v>752</v>
      </c>
      <c r="I423" t="s">
        <v>809</v>
      </c>
      <c r="J423" s="1">
        <v>8317.2800000000007</v>
      </c>
      <c r="K423" s="1">
        <v>553039.67000000004</v>
      </c>
      <c r="L423" t="s">
        <v>76</v>
      </c>
      <c r="M423" t="s">
        <v>811</v>
      </c>
    </row>
    <row r="424" spans="1:13" x14ac:dyDescent="0.25">
      <c r="A424" t="s">
        <v>13</v>
      </c>
      <c r="B424" t="s">
        <v>73</v>
      </c>
      <c r="C424">
        <v>10000507</v>
      </c>
      <c r="D424" t="s">
        <v>752</v>
      </c>
      <c r="E424" t="str">
        <f>VLOOKUP(D:D,Hoja2!A:B,2,FALSE)</f>
        <v>MOLIENDAS DEL SUR SA</v>
      </c>
      <c r="F424" t="s">
        <v>20</v>
      </c>
      <c r="G424" t="s">
        <v>61</v>
      </c>
      <c r="H424" t="s">
        <v>752</v>
      </c>
      <c r="I424" t="s">
        <v>809</v>
      </c>
      <c r="J424" s="1">
        <v>90.75</v>
      </c>
      <c r="K424" s="1">
        <v>553130.42000000004</v>
      </c>
      <c r="L424" t="s">
        <v>76</v>
      </c>
      <c r="M424" t="s">
        <v>812</v>
      </c>
    </row>
    <row r="425" spans="1:13" x14ac:dyDescent="0.25">
      <c r="A425" t="s">
        <v>13</v>
      </c>
      <c r="B425" t="s">
        <v>73</v>
      </c>
      <c r="C425">
        <v>10000508</v>
      </c>
      <c r="D425" t="s">
        <v>752</v>
      </c>
      <c r="E425" t="str">
        <f>VLOOKUP(D:D,Hoja2!A:B,2,FALSE)</f>
        <v>MOLIENDAS DEL SUR SA</v>
      </c>
      <c r="F425" t="s">
        <v>20</v>
      </c>
      <c r="G425" t="s">
        <v>61</v>
      </c>
      <c r="H425" t="s">
        <v>752</v>
      </c>
      <c r="I425" t="s">
        <v>813</v>
      </c>
      <c r="J425" s="1">
        <v>8988.57</v>
      </c>
      <c r="K425" s="1">
        <v>562118.99</v>
      </c>
      <c r="L425" t="s">
        <v>76</v>
      </c>
      <c r="M425" t="s">
        <v>814</v>
      </c>
    </row>
    <row r="426" spans="1:13" x14ac:dyDescent="0.25">
      <c r="A426" t="s">
        <v>13</v>
      </c>
      <c r="B426" t="s">
        <v>73</v>
      </c>
      <c r="C426">
        <v>10000509</v>
      </c>
      <c r="D426" t="s">
        <v>752</v>
      </c>
      <c r="E426" t="str">
        <f>VLOOKUP(D:D,Hoja2!A:B,2,FALSE)</f>
        <v>MOLIENDAS DEL SUR SA</v>
      </c>
      <c r="F426" t="s">
        <v>20</v>
      </c>
      <c r="G426" t="s">
        <v>61</v>
      </c>
      <c r="H426" t="s">
        <v>752</v>
      </c>
      <c r="I426" t="s">
        <v>813</v>
      </c>
      <c r="J426" s="1">
        <v>8317.2800000000007</v>
      </c>
      <c r="K426" s="1">
        <v>570436.27</v>
      </c>
      <c r="L426" t="s">
        <v>76</v>
      </c>
      <c r="M426" t="s">
        <v>815</v>
      </c>
    </row>
    <row r="427" spans="1:13" x14ac:dyDescent="0.25">
      <c r="A427" t="s">
        <v>13</v>
      </c>
      <c r="B427" t="s">
        <v>73</v>
      </c>
      <c r="C427">
        <v>10000510</v>
      </c>
      <c r="D427" t="s">
        <v>752</v>
      </c>
      <c r="E427" t="str">
        <f>VLOOKUP(D:D,Hoja2!A:B,2,FALSE)</f>
        <v>MOLIENDAS DEL SUR SA</v>
      </c>
      <c r="F427" t="s">
        <v>20</v>
      </c>
      <c r="G427" t="s">
        <v>61</v>
      </c>
      <c r="H427" t="s">
        <v>752</v>
      </c>
      <c r="I427" t="s">
        <v>813</v>
      </c>
      <c r="J427" s="1">
        <v>14791.88</v>
      </c>
      <c r="K427" s="1">
        <v>585228.15</v>
      </c>
      <c r="L427" t="s">
        <v>76</v>
      </c>
      <c r="M427" t="s">
        <v>816</v>
      </c>
    </row>
    <row r="428" spans="1:13" x14ac:dyDescent="0.25">
      <c r="A428" t="s">
        <v>13</v>
      </c>
      <c r="B428" t="s">
        <v>73</v>
      </c>
      <c r="C428">
        <v>10000511</v>
      </c>
      <c r="D428" t="s">
        <v>752</v>
      </c>
      <c r="E428" t="str">
        <f>VLOOKUP(D:D,Hoja2!A:B,2,FALSE)</f>
        <v>MOLIENDAS DEL SUR SA</v>
      </c>
      <c r="F428" t="s">
        <v>20</v>
      </c>
      <c r="G428" t="s">
        <v>61</v>
      </c>
      <c r="H428" t="s">
        <v>752</v>
      </c>
      <c r="I428" t="s">
        <v>813</v>
      </c>
      <c r="J428" s="1">
        <v>14791.88</v>
      </c>
      <c r="K428" s="1">
        <v>600020.03</v>
      </c>
      <c r="L428" t="s">
        <v>76</v>
      </c>
      <c r="M428" t="s">
        <v>817</v>
      </c>
    </row>
    <row r="429" spans="1:13" x14ac:dyDescent="0.25">
      <c r="A429" t="s">
        <v>13</v>
      </c>
      <c r="B429" t="s">
        <v>73</v>
      </c>
      <c r="C429">
        <v>10000512</v>
      </c>
      <c r="D429" t="s">
        <v>752</v>
      </c>
      <c r="E429" t="str">
        <f>VLOOKUP(D:D,Hoja2!A:B,2,FALSE)</f>
        <v>MOLIENDAS DEL SUR SA</v>
      </c>
      <c r="F429" t="s">
        <v>20</v>
      </c>
      <c r="G429" t="s">
        <v>61</v>
      </c>
      <c r="H429" t="s">
        <v>752</v>
      </c>
      <c r="I429" t="s">
        <v>813</v>
      </c>
      <c r="J429" s="1">
        <v>39.93</v>
      </c>
      <c r="K429" s="1">
        <v>600059.96</v>
      </c>
      <c r="L429" t="s">
        <v>76</v>
      </c>
      <c r="M429" t="s">
        <v>818</v>
      </c>
    </row>
    <row r="430" spans="1:13" x14ac:dyDescent="0.25">
      <c r="A430" t="s">
        <v>13</v>
      </c>
      <c r="B430" t="s">
        <v>73</v>
      </c>
      <c r="C430">
        <v>10000513</v>
      </c>
      <c r="D430" t="s">
        <v>752</v>
      </c>
      <c r="E430" t="str">
        <f>VLOOKUP(D:D,Hoja2!A:B,2,FALSE)</f>
        <v>MOLIENDAS DEL SUR SA</v>
      </c>
      <c r="F430" t="s">
        <v>20</v>
      </c>
      <c r="G430" t="s">
        <v>61</v>
      </c>
      <c r="H430" t="s">
        <v>752</v>
      </c>
      <c r="I430" t="s">
        <v>819</v>
      </c>
      <c r="J430" s="1">
        <v>15000</v>
      </c>
      <c r="K430" s="1">
        <v>615059.96</v>
      </c>
      <c r="L430" t="s">
        <v>76</v>
      </c>
      <c r="M430" t="s">
        <v>820</v>
      </c>
    </row>
    <row r="431" spans="1:13" x14ac:dyDescent="0.25">
      <c r="A431" t="s">
        <v>13</v>
      </c>
      <c r="B431" t="s">
        <v>73</v>
      </c>
      <c r="C431">
        <v>10000515</v>
      </c>
      <c r="D431" t="s">
        <v>752</v>
      </c>
      <c r="E431" t="str">
        <f>VLOOKUP(D:D,Hoja2!A:B,2,FALSE)</f>
        <v>MOLIENDAS DEL SUR SA</v>
      </c>
      <c r="F431" t="s">
        <v>20</v>
      </c>
      <c r="G431" t="s">
        <v>61</v>
      </c>
      <c r="H431" t="s">
        <v>752</v>
      </c>
      <c r="I431" t="s">
        <v>821</v>
      </c>
      <c r="J431" s="1">
        <v>9106.7999999999993</v>
      </c>
      <c r="K431" s="1">
        <v>624166.76</v>
      </c>
      <c r="L431" t="s">
        <v>76</v>
      </c>
      <c r="M431" t="s">
        <v>822</v>
      </c>
    </row>
    <row r="432" spans="1:13" x14ac:dyDescent="0.25">
      <c r="A432" t="s">
        <v>13</v>
      </c>
      <c r="B432" t="s">
        <v>73</v>
      </c>
      <c r="C432">
        <v>10000516</v>
      </c>
      <c r="D432" t="s">
        <v>752</v>
      </c>
      <c r="E432" t="str">
        <f>VLOOKUP(D:D,Hoja2!A:B,2,FALSE)</f>
        <v>MOLIENDAS DEL SUR SA</v>
      </c>
      <c r="F432" t="s">
        <v>20</v>
      </c>
      <c r="G432" t="s">
        <v>61</v>
      </c>
      <c r="H432" t="s">
        <v>752</v>
      </c>
      <c r="I432" t="s">
        <v>821</v>
      </c>
      <c r="J432" s="1">
        <v>14791.88</v>
      </c>
      <c r="K432" s="1">
        <v>638958.64</v>
      </c>
      <c r="L432" t="s">
        <v>76</v>
      </c>
      <c r="M432" t="s">
        <v>823</v>
      </c>
    </row>
    <row r="433" spans="1:13" x14ac:dyDescent="0.25">
      <c r="A433" t="s">
        <v>13</v>
      </c>
      <c r="B433" t="s">
        <v>73</v>
      </c>
      <c r="C433">
        <v>10000517</v>
      </c>
      <c r="D433" t="s">
        <v>752</v>
      </c>
      <c r="E433" t="str">
        <f>VLOOKUP(D:D,Hoja2!A:B,2,FALSE)</f>
        <v>MOLIENDAS DEL SUR SA</v>
      </c>
      <c r="F433" t="s">
        <v>20</v>
      </c>
      <c r="G433" t="s">
        <v>61</v>
      </c>
      <c r="H433" t="s">
        <v>752</v>
      </c>
      <c r="I433" t="s">
        <v>821</v>
      </c>
      <c r="J433" s="1">
        <v>133.1</v>
      </c>
      <c r="K433" s="1">
        <v>639091.74</v>
      </c>
      <c r="L433" t="s">
        <v>76</v>
      </c>
      <c r="M433" t="s">
        <v>824</v>
      </c>
    </row>
    <row r="434" spans="1:13" x14ac:dyDescent="0.25">
      <c r="A434" t="s">
        <v>13</v>
      </c>
      <c r="B434" t="s">
        <v>73</v>
      </c>
      <c r="C434">
        <v>10000518</v>
      </c>
      <c r="D434" t="s">
        <v>752</v>
      </c>
      <c r="E434" t="str">
        <f>VLOOKUP(D:D,Hoja2!A:B,2,FALSE)</f>
        <v>MOLIENDAS DEL SUR SA</v>
      </c>
      <c r="F434" t="s">
        <v>20</v>
      </c>
      <c r="G434" t="s">
        <v>61</v>
      </c>
      <c r="H434" t="s">
        <v>752</v>
      </c>
      <c r="I434" t="s">
        <v>821</v>
      </c>
      <c r="J434" s="1">
        <v>47572.33</v>
      </c>
      <c r="K434" s="1">
        <v>686664.07</v>
      </c>
      <c r="L434" t="s">
        <v>76</v>
      </c>
      <c r="M434" t="s">
        <v>825</v>
      </c>
    </row>
    <row r="435" spans="1:13" x14ac:dyDescent="0.25">
      <c r="A435" t="s">
        <v>13</v>
      </c>
      <c r="B435" t="s">
        <v>73</v>
      </c>
      <c r="C435">
        <v>10000519</v>
      </c>
      <c r="D435" t="s">
        <v>752</v>
      </c>
      <c r="E435" t="str">
        <f>VLOOKUP(D:D,Hoja2!A:B,2,FALSE)</f>
        <v>MOLIENDAS DEL SUR SA</v>
      </c>
      <c r="F435" t="s">
        <v>20</v>
      </c>
      <c r="G435" t="s">
        <v>61</v>
      </c>
      <c r="H435" t="s">
        <v>752</v>
      </c>
      <c r="I435" t="s">
        <v>821</v>
      </c>
      <c r="J435" s="1">
        <v>119.79</v>
      </c>
      <c r="K435" s="1">
        <v>686783.86</v>
      </c>
      <c r="L435" t="s">
        <v>76</v>
      </c>
      <c r="M435" t="s">
        <v>826</v>
      </c>
    </row>
    <row r="436" spans="1:13" x14ac:dyDescent="0.25">
      <c r="A436" t="s">
        <v>13</v>
      </c>
      <c r="B436" t="s">
        <v>73</v>
      </c>
      <c r="C436">
        <v>10000520</v>
      </c>
      <c r="D436" t="s">
        <v>752</v>
      </c>
      <c r="E436" t="str">
        <f>VLOOKUP(D:D,Hoja2!A:B,2,FALSE)</f>
        <v>MOLIENDAS DEL SUR SA</v>
      </c>
      <c r="F436" t="s">
        <v>20</v>
      </c>
      <c r="G436" t="s">
        <v>61</v>
      </c>
      <c r="H436" t="s">
        <v>752</v>
      </c>
      <c r="I436" t="s">
        <v>821</v>
      </c>
      <c r="J436" s="1">
        <v>16634.560000000001</v>
      </c>
      <c r="K436" s="1">
        <v>703418.42</v>
      </c>
      <c r="L436" t="s">
        <v>76</v>
      </c>
      <c r="M436" t="s">
        <v>827</v>
      </c>
    </row>
    <row r="437" spans="1:13" x14ac:dyDescent="0.25">
      <c r="A437" t="s">
        <v>13</v>
      </c>
      <c r="B437" t="s">
        <v>73</v>
      </c>
      <c r="C437">
        <v>10000521</v>
      </c>
      <c r="D437" t="s">
        <v>752</v>
      </c>
      <c r="E437" t="str">
        <f>VLOOKUP(D:D,Hoja2!A:B,2,FALSE)</f>
        <v>MOLIENDAS DEL SUR SA</v>
      </c>
      <c r="F437" t="s">
        <v>20</v>
      </c>
      <c r="G437" t="s">
        <v>61</v>
      </c>
      <c r="H437" t="s">
        <v>752</v>
      </c>
      <c r="I437" t="s">
        <v>821</v>
      </c>
      <c r="J437" s="1">
        <v>59.29</v>
      </c>
      <c r="K437" s="1">
        <v>703477.71</v>
      </c>
      <c r="L437" t="s">
        <v>76</v>
      </c>
      <c r="M437" t="s">
        <v>828</v>
      </c>
    </row>
    <row r="438" spans="1:13" x14ac:dyDescent="0.25">
      <c r="A438" t="s">
        <v>13</v>
      </c>
      <c r="B438" t="s">
        <v>73</v>
      </c>
      <c r="C438">
        <v>10000522</v>
      </c>
      <c r="D438" t="s">
        <v>752</v>
      </c>
      <c r="E438" t="str">
        <f>VLOOKUP(D:D,Hoja2!A:B,2,FALSE)</f>
        <v>MOLIENDAS DEL SUR SA</v>
      </c>
      <c r="F438" t="s">
        <v>20</v>
      </c>
      <c r="G438" t="s">
        <v>61</v>
      </c>
      <c r="H438" t="s">
        <v>752</v>
      </c>
      <c r="I438" t="s">
        <v>821</v>
      </c>
      <c r="J438" s="1">
        <v>8988.57</v>
      </c>
      <c r="K438" s="1">
        <v>712466.28</v>
      </c>
      <c r="L438" t="s">
        <v>76</v>
      </c>
      <c r="M438" t="s">
        <v>829</v>
      </c>
    </row>
    <row r="439" spans="1:13" x14ac:dyDescent="0.25">
      <c r="A439" t="s">
        <v>13</v>
      </c>
      <c r="B439" t="s">
        <v>73</v>
      </c>
      <c r="C439">
        <v>10000523</v>
      </c>
      <c r="D439" t="s">
        <v>752</v>
      </c>
      <c r="E439" t="str">
        <f>VLOOKUP(D:D,Hoja2!A:B,2,FALSE)</f>
        <v>MOLIENDAS DEL SUR SA</v>
      </c>
      <c r="F439" t="s">
        <v>20</v>
      </c>
      <c r="G439" t="s">
        <v>61</v>
      </c>
      <c r="H439" t="s">
        <v>752</v>
      </c>
      <c r="I439" t="s">
        <v>821</v>
      </c>
      <c r="J439" s="1">
        <v>30.25</v>
      </c>
      <c r="K439" s="1">
        <v>712496.53</v>
      </c>
      <c r="L439" t="s">
        <v>76</v>
      </c>
      <c r="M439" t="s">
        <v>830</v>
      </c>
    </row>
    <row r="440" spans="1:13" x14ac:dyDescent="0.25">
      <c r="A440" t="s">
        <v>13</v>
      </c>
      <c r="B440" t="s">
        <v>26</v>
      </c>
      <c r="C440">
        <v>209</v>
      </c>
      <c r="D440" t="s">
        <v>831</v>
      </c>
      <c r="E440" t="str">
        <f>VLOOKUP(D:D,Hoja2!A:B,2,FALSE)</f>
        <v>GAVETECO SAICFeI</v>
      </c>
      <c r="F440" t="s">
        <v>29</v>
      </c>
      <c r="G440" t="s">
        <v>18</v>
      </c>
      <c r="H440" t="s">
        <v>831</v>
      </c>
      <c r="I440" t="s">
        <v>91</v>
      </c>
      <c r="J440" s="1">
        <v>71086.75</v>
      </c>
      <c r="K440" s="1">
        <v>71086.75</v>
      </c>
      <c r="L440" t="s">
        <v>24</v>
      </c>
      <c r="M440" t="s">
        <v>524</v>
      </c>
    </row>
    <row r="441" spans="1:13" x14ac:dyDescent="0.25">
      <c r="A441" t="s">
        <v>13</v>
      </c>
      <c r="B441" t="s">
        <v>26</v>
      </c>
      <c r="C441">
        <v>224</v>
      </c>
      <c r="D441" t="s">
        <v>831</v>
      </c>
      <c r="E441" t="str">
        <f>VLOOKUP(D:D,Hoja2!A:B,2,FALSE)</f>
        <v>GAVETECO SAICFeI</v>
      </c>
      <c r="F441" t="s">
        <v>29</v>
      </c>
      <c r="G441" t="s">
        <v>18</v>
      </c>
      <c r="H441" t="s">
        <v>831</v>
      </c>
      <c r="I441" t="s">
        <v>91</v>
      </c>
      <c r="J441" s="1">
        <v>91392.35</v>
      </c>
      <c r="K441" s="1">
        <v>162479.1</v>
      </c>
      <c r="L441" t="s">
        <v>24</v>
      </c>
      <c r="M441" t="s">
        <v>448</v>
      </c>
    </row>
    <row r="442" spans="1:13" x14ac:dyDescent="0.25">
      <c r="A442" t="s">
        <v>13</v>
      </c>
      <c r="B442" t="s">
        <v>26</v>
      </c>
      <c r="C442">
        <v>209</v>
      </c>
      <c r="D442" t="s">
        <v>831</v>
      </c>
      <c r="E442" t="str">
        <f>VLOOKUP(D:D,Hoja2!A:B,2,FALSE)</f>
        <v>GAVETECO SAICFeI</v>
      </c>
      <c r="F442" t="s">
        <v>29</v>
      </c>
      <c r="G442" t="s">
        <v>61</v>
      </c>
      <c r="H442" t="s">
        <v>831</v>
      </c>
      <c r="I442" t="s">
        <v>94</v>
      </c>
      <c r="J442" s="1">
        <v>-71086.75</v>
      </c>
      <c r="K442" s="1">
        <v>91392.35</v>
      </c>
      <c r="L442" t="s">
        <v>24</v>
      </c>
      <c r="M442" t="s">
        <v>524</v>
      </c>
    </row>
    <row r="443" spans="1:13" x14ac:dyDescent="0.25">
      <c r="A443" t="s">
        <v>13</v>
      </c>
      <c r="B443" t="s">
        <v>26</v>
      </c>
      <c r="C443">
        <v>224</v>
      </c>
      <c r="D443" t="s">
        <v>831</v>
      </c>
      <c r="E443" t="str">
        <f>VLOOKUP(D:D,Hoja2!A:B,2,FALSE)</f>
        <v>GAVETECO SAICFeI</v>
      </c>
      <c r="F443" t="s">
        <v>29</v>
      </c>
      <c r="G443" t="s">
        <v>61</v>
      </c>
      <c r="H443" t="s">
        <v>831</v>
      </c>
      <c r="I443" t="s">
        <v>94</v>
      </c>
      <c r="J443" s="1">
        <v>-91392.35</v>
      </c>
      <c r="K443" s="1">
        <v>0</v>
      </c>
      <c r="L443" t="s">
        <v>24</v>
      </c>
      <c r="M443" t="s">
        <v>448</v>
      </c>
    </row>
    <row r="444" spans="1:13" x14ac:dyDescent="0.25">
      <c r="A444" t="s">
        <v>13</v>
      </c>
      <c r="B444" t="s">
        <v>26</v>
      </c>
      <c r="C444">
        <v>1306</v>
      </c>
      <c r="D444" t="s">
        <v>831</v>
      </c>
      <c r="E444" t="str">
        <f>VLOOKUP(D:D,Hoja2!A:B,2,FALSE)</f>
        <v>GAVETECO SAICFeI</v>
      </c>
      <c r="F444" t="s">
        <v>29</v>
      </c>
      <c r="G444" t="s">
        <v>18</v>
      </c>
      <c r="H444" t="s">
        <v>831</v>
      </c>
      <c r="I444" t="s">
        <v>833</v>
      </c>
      <c r="J444" s="1">
        <v>137815.43</v>
      </c>
      <c r="K444" s="1">
        <v>137815.43</v>
      </c>
      <c r="L444" t="s">
        <v>24</v>
      </c>
      <c r="M444" t="s">
        <v>834</v>
      </c>
    </row>
    <row r="445" spans="1:13" x14ac:dyDescent="0.25">
      <c r="A445" t="s">
        <v>13</v>
      </c>
      <c r="B445" t="s">
        <v>32</v>
      </c>
      <c r="C445">
        <v>62</v>
      </c>
      <c r="D445" t="s">
        <v>831</v>
      </c>
      <c r="E445" t="str">
        <f>VLOOKUP(D:D,Hoja2!A:B,2,FALSE)</f>
        <v>GAVETECO SAICFeI</v>
      </c>
      <c r="F445" t="s">
        <v>29</v>
      </c>
      <c r="G445" t="s">
        <v>18</v>
      </c>
      <c r="H445" t="s">
        <v>831</v>
      </c>
      <c r="I445" t="s">
        <v>835</v>
      </c>
      <c r="J445" s="1">
        <v>-137815.43</v>
      </c>
      <c r="K445" s="1">
        <v>0</v>
      </c>
      <c r="L445" t="s">
        <v>24</v>
      </c>
      <c r="M445" t="s">
        <v>836</v>
      </c>
    </row>
    <row r="446" spans="1:13" x14ac:dyDescent="0.25">
      <c r="A446" t="s">
        <v>13</v>
      </c>
      <c r="B446" t="s">
        <v>26</v>
      </c>
      <c r="C446">
        <v>1454</v>
      </c>
      <c r="D446" t="s">
        <v>831</v>
      </c>
      <c r="E446" t="str">
        <f>VLOOKUP(D:D,Hoja2!A:B,2,FALSE)</f>
        <v>GAVETECO SAICFeI</v>
      </c>
      <c r="F446" t="s">
        <v>29</v>
      </c>
      <c r="G446" t="s">
        <v>18</v>
      </c>
      <c r="H446" t="s">
        <v>831</v>
      </c>
      <c r="I446" t="s">
        <v>837</v>
      </c>
      <c r="J446" s="1">
        <v>392461.05</v>
      </c>
      <c r="K446" s="1">
        <v>392461.05</v>
      </c>
      <c r="L446" t="s">
        <v>24</v>
      </c>
      <c r="M446" t="s">
        <v>838</v>
      </c>
    </row>
    <row r="447" spans="1:13" x14ac:dyDescent="0.25">
      <c r="A447" t="s">
        <v>13</v>
      </c>
      <c r="B447" t="s">
        <v>32</v>
      </c>
      <c r="C447">
        <v>67</v>
      </c>
      <c r="D447" t="s">
        <v>831</v>
      </c>
      <c r="E447" t="str">
        <f>VLOOKUP(D:D,Hoja2!A:B,2,FALSE)</f>
        <v>GAVETECO SAICFeI</v>
      </c>
      <c r="F447" t="s">
        <v>29</v>
      </c>
      <c r="G447" t="s">
        <v>18</v>
      </c>
      <c r="H447" t="s">
        <v>831</v>
      </c>
      <c r="I447" t="s">
        <v>839</v>
      </c>
      <c r="J447" s="1">
        <v>-392461.05</v>
      </c>
      <c r="K447" s="1">
        <v>0</v>
      </c>
      <c r="L447" t="s">
        <v>24</v>
      </c>
      <c r="M447" t="s">
        <v>59</v>
      </c>
    </row>
    <row r="448" spans="1:13" x14ac:dyDescent="0.25">
      <c r="A448" t="s">
        <v>13</v>
      </c>
      <c r="B448" t="s">
        <v>26</v>
      </c>
      <c r="C448">
        <v>1737</v>
      </c>
      <c r="D448" t="s">
        <v>831</v>
      </c>
      <c r="E448" t="str">
        <f>VLOOKUP(D:D,Hoja2!A:B,2,FALSE)</f>
        <v>GAVETECO SAICFeI</v>
      </c>
      <c r="F448" t="s">
        <v>29</v>
      </c>
      <c r="G448" t="s">
        <v>18</v>
      </c>
      <c r="H448" t="s">
        <v>831</v>
      </c>
      <c r="I448" t="s">
        <v>840</v>
      </c>
      <c r="J448" s="1">
        <v>1838810.03</v>
      </c>
      <c r="K448" s="1">
        <v>1838810.03</v>
      </c>
      <c r="L448" t="s">
        <v>24</v>
      </c>
      <c r="M448" t="s">
        <v>841</v>
      </c>
    </row>
    <row r="449" spans="1:13" x14ac:dyDescent="0.25">
      <c r="A449" t="s">
        <v>13</v>
      </c>
      <c r="B449" t="s">
        <v>32</v>
      </c>
      <c r="C449">
        <v>78</v>
      </c>
      <c r="D449" t="s">
        <v>831</v>
      </c>
      <c r="E449" t="str">
        <f>VLOOKUP(D:D,Hoja2!A:B,2,FALSE)</f>
        <v>GAVETECO SAICFeI</v>
      </c>
      <c r="F449" t="s">
        <v>29</v>
      </c>
      <c r="G449" t="s">
        <v>18</v>
      </c>
      <c r="H449" t="s">
        <v>831</v>
      </c>
      <c r="I449" t="s">
        <v>840</v>
      </c>
      <c r="J449" s="1">
        <v>-348624</v>
      </c>
      <c r="K449" s="1">
        <v>1490186.03</v>
      </c>
      <c r="L449" t="s">
        <v>24</v>
      </c>
      <c r="M449" t="s">
        <v>842</v>
      </c>
    </row>
    <row r="450" spans="1:13" x14ac:dyDescent="0.25">
      <c r="A450" t="s">
        <v>13</v>
      </c>
      <c r="B450" t="s">
        <v>32</v>
      </c>
      <c r="C450">
        <v>79</v>
      </c>
      <c r="D450" t="s">
        <v>831</v>
      </c>
      <c r="E450" t="str">
        <f>VLOOKUP(D:D,Hoja2!A:B,2,FALSE)</f>
        <v>GAVETECO SAICFeI</v>
      </c>
      <c r="F450" t="s">
        <v>29</v>
      </c>
      <c r="G450" t="s">
        <v>18</v>
      </c>
      <c r="H450" t="s">
        <v>831</v>
      </c>
      <c r="I450" t="s">
        <v>843</v>
      </c>
      <c r="J450" s="1">
        <v>-1490186.03</v>
      </c>
      <c r="K450" s="1">
        <v>0</v>
      </c>
      <c r="L450" t="s">
        <v>24</v>
      </c>
      <c r="M450" t="s">
        <v>844</v>
      </c>
    </row>
    <row r="451" spans="1:13" x14ac:dyDescent="0.25">
      <c r="A451" t="s">
        <v>13</v>
      </c>
      <c r="B451" t="s">
        <v>26</v>
      </c>
      <c r="C451">
        <v>1768</v>
      </c>
      <c r="D451" t="s">
        <v>831</v>
      </c>
      <c r="E451" t="str">
        <f>VLOOKUP(D:D,Hoja2!A:B,2,FALSE)</f>
        <v>GAVETECO SAICFeI</v>
      </c>
      <c r="F451" t="s">
        <v>29</v>
      </c>
      <c r="G451" t="s">
        <v>18</v>
      </c>
      <c r="H451" t="s">
        <v>831</v>
      </c>
      <c r="I451" t="s">
        <v>845</v>
      </c>
      <c r="J451" s="1">
        <v>1196149.52</v>
      </c>
      <c r="K451" s="1">
        <v>1196149.52</v>
      </c>
      <c r="L451" t="s">
        <v>24</v>
      </c>
      <c r="M451" t="s">
        <v>846</v>
      </c>
    </row>
    <row r="452" spans="1:13" x14ac:dyDescent="0.25">
      <c r="A452" t="s">
        <v>13</v>
      </c>
      <c r="B452" t="s">
        <v>32</v>
      </c>
      <c r="C452">
        <v>81</v>
      </c>
      <c r="D452" t="s">
        <v>831</v>
      </c>
      <c r="E452" t="str">
        <f>VLOOKUP(D:D,Hoja2!A:B,2,FALSE)</f>
        <v>GAVETECO SAICFeI</v>
      </c>
      <c r="F452" t="s">
        <v>29</v>
      </c>
      <c r="G452" t="s">
        <v>18</v>
      </c>
      <c r="H452" t="s">
        <v>831</v>
      </c>
      <c r="I452" t="s">
        <v>845</v>
      </c>
      <c r="J452" s="1">
        <v>-1196149.52</v>
      </c>
      <c r="K452" s="1">
        <v>0</v>
      </c>
      <c r="L452" t="s">
        <v>24</v>
      </c>
      <c r="M452" t="s">
        <v>847</v>
      </c>
    </row>
    <row r="453" spans="1:13" x14ac:dyDescent="0.25">
      <c r="A453" t="s">
        <v>13</v>
      </c>
      <c r="B453" t="s">
        <v>26</v>
      </c>
      <c r="C453">
        <v>1784</v>
      </c>
      <c r="D453" t="s">
        <v>831</v>
      </c>
      <c r="E453" t="str">
        <f>VLOOKUP(D:D,Hoja2!A:B,2,FALSE)</f>
        <v>GAVETECO SAICFeI</v>
      </c>
      <c r="F453" t="s">
        <v>29</v>
      </c>
      <c r="G453" t="s">
        <v>18</v>
      </c>
      <c r="H453" t="s">
        <v>831</v>
      </c>
      <c r="I453" t="s">
        <v>384</v>
      </c>
      <c r="J453" s="1">
        <v>1196149.52</v>
      </c>
      <c r="K453" s="1">
        <v>1196149.52</v>
      </c>
      <c r="L453" t="s">
        <v>24</v>
      </c>
      <c r="M453" t="s">
        <v>848</v>
      </c>
    </row>
    <row r="454" spans="1:13" x14ac:dyDescent="0.25">
      <c r="A454" t="s">
        <v>13</v>
      </c>
      <c r="B454" t="s">
        <v>32</v>
      </c>
      <c r="C454">
        <v>82</v>
      </c>
      <c r="D454" t="s">
        <v>831</v>
      </c>
      <c r="E454" t="str">
        <f>VLOOKUP(D:D,Hoja2!A:B,2,FALSE)</f>
        <v>GAVETECO SAICFeI</v>
      </c>
      <c r="F454" t="s">
        <v>29</v>
      </c>
      <c r="G454" t="s">
        <v>18</v>
      </c>
      <c r="H454" t="s">
        <v>831</v>
      </c>
      <c r="I454" t="s">
        <v>384</v>
      </c>
      <c r="J454" s="1">
        <v>-1196149.52</v>
      </c>
      <c r="K454" s="1">
        <v>0</v>
      </c>
      <c r="L454" t="s">
        <v>24</v>
      </c>
      <c r="M454" t="s">
        <v>849</v>
      </c>
    </row>
    <row r="455" spans="1:13" x14ac:dyDescent="0.25">
      <c r="A455" t="s">
        <v>13</v>
      </c>
      <c r="B455" t="s">
        <v>26</v>
      </c>
      <c r="C455">
        <v>2002</v>
      </c>
      <c r="D455" t="s">
        <v>831</v>
      </c>
      <c r="E455" t="str">
        <f>VLOOKUP(D:D,Hoja2!A:B,2,FALSE)</f>
        <v>GAVETECO SAICFeI</v>
      </c>
      <c r="F455" t="s">
        <v>29</v>
      </c>
      <c r="G455" t="s">
        <v>18</v>
      </c>
      <c r="H455" t="s">
        <v>831</v>
      </c>
      <c r="I455" t="s">
        <v>850</v>
      </c>
      <c r="J455" s="1">
        <v>1109574.56</v>
      </c>
      <c r="K455" s="1">
        <v>1109574.56</v>
      </c>
      <c r="L455" t="s">
        <v>24</v>
      </c>
      <c r="M455" t="s">
        <v>851</v>
      </c>
    </row>
    <row r="456" spans="1:13" x14ac:dyDescent="0.25">
      <c r="A456" t="s">
        <v>13</v>
      </c>
      <c r="B456" t="s">
        <v>32</v>
      </c>
      <c r="C456">
        <v>86</v>
      </c>
      <c r="D456" t="s">
        <v>831</v>
      </c>
      <c r="E456" t="str">
        <f>VLOOKUP(D:D,Hoja2!A:B,2,FALSE)</f>
        <v>GAVETECO SAICFeI</v>
      </c>
      <c r="F456" t="s">
        <v>29</v>
      </c>
      <c r="G456" t="s">
        <v>18</v>
      </c>
      <c r="H456" t="s">
        <v>831</v>
      </c>
      <c r="I456" t="s">
        <v>852</v>
      </c>
      <c r="J456" s="1">
        <v>-1109574.56</v>
      </c>
      <c r="K456" s="1">
        <v>0</v>
      </c>
      <c r="L456" t="s">
        <v>24</v>
      </c>
      <c r="M456" t="s">
        <v>853</v>
      </c>
    </row>
    <row r="457" spans="1:13" x14ac:dyDescent="0.25">
      <c r="A457" t="s">
        <v>13</v>
      </c>
      <c r="B457" t="s">
        <v>32</v>
      </c>
      <c r="C457">
        <v>111</v>
      </c>
      <c r="D457" t="s">
        <v>831</v>
      </c>
      <c r="E457" t="str">
        <f>VLOOKUP(D:D,Hoja2!A:B,2,FALSE)</f>
        <v>GAVETECO SAICFeI</v>
      </c>
      <c r="F457" t="s">
        <v>29</v>
      </c>
      <c r="G457" t="s">
        <v>18</v>
      </c>
      <c r="H457" t="s">
        <v>831</v>
      </c>
      <c r="I457" t="s">
        <v>854</v>
      </c>
      <c r="J457" s="1">
        <v>-33894</v>
      </c>
      <c r="K457" s="1">
        <v>-33894</v>
      </c>
      <c r="L457" t="s">
        <v>24</v>
      </c>
      <c r="M457" t="s">
        <v>855</v>
      </c>
    </row>
    <row r="458" spans="1:13" x14ac:dyDescent="0.25">
      <c r="A458" t="s">
        <v>13</v>
      </c>
      <c r="B458" t="s">
        <v>32</v>
      </c>
      <c r="C458">
        <v>112</v>
      </c>
      <c r="D458" t="s">
        <v>831</v>
      </c>
      <c r="E458" t="str">
        <f>VLOOKUP(D:D,Hoja2!A:B,2,FALSE)</f>
        <v>GAVETECO SAICFeI</v>
      </c>
      <c r="F458" t="s">
        <v>29</v>
      </c>
      <c r="G458" t="s">
        <v>18</v>
      </c>
      <c r="H458" t="s">
        <v>831</v>
      </c>
      <c r="I458" t="s">
        <v>854</v>
      </c>
      <c r="J458" s="1">
        <v>-305046</v>
      </c>
      <c r="K458" s="1">
        <v>-338940</v>
      </c>
      <c r="L458" t="s">
        <v>24</v>
      </c>
      <c r="M458" t="s">
        <v>856</v>
      </c>
    </row>
    <row r="459" spans="1:13" x14ac:dyDescent="0.25">
      <c r="A459" t="s">
        <v>13</v>
      </c>
      <c r="B459" t="s">
        <v>57</v>
      </c>
      <c r="C459">
        <v>69</v>
      </c>
      <c r="D459" t="s">
        <v>831</v>
      </c>
      <c r="E459" t="str">
        <f>VLOOKUP(D:D,Hoja2!A:B,2,FALSE)</f>
        <v>GAVETECO SAICFeI</v>
      </c>
      <c r="F459" t="s">
        <v>29</v>
      </c>
      <c r="G459" t="s">
        <v>18</v>
      </c>
      <c r="H459" t="s">
        <v>831</v>
      </c>
      <c r="I459" t="s">
        <v>854</v>
      </c>
      <c r="J459" s="1">
        <v>305046</v>
      </c>
      <c r="K459" s="1">
        <v>-33894</v>
      </c>
      <c r="L459" t="s">
        <v>24</v>
      </c>
      <c r="M459" t="s">
        <v>857</v>
      </c>
    </row>
    <row r="460" spans="1:13" x14ac:dyDescent="0.25">
      <c r="A460" t="s">
        <v>13</v>
      </c>
      <c r="B460" t="s">
        <v>57</v>
      </c>
      <c r="C460">
        <v>70</v>
      </c>
      <c r="D460" t="s">
        <v>831</v>
      </c>
      <c r="E460" t="str">
        <f>VLOOKUP(D:D,Hoja2!A:B,2,FALSE)</f>
        <v>GAVETECO SAICFeI</v>
      </c>
      <c r="F460" t="s">
        <v>29</v>
      </c>
      <c r="G460" t="s">
        <v>18</v>
      </c>
      <c r="H460" t="s">
        <v>831</v>
      </c>
      <c r="I460" t="s">
        <v>858</v>
      </c>
      <c r="J460" s="1">
        <v>33894</v>
      </c>
      <c r="K460" s="1">
        <v>0</v>
      </c>
      <c r="L460" t="s">
        <v>24</v>
      </c>
      <c r="M460" t="s">
        <v>859</v>
      </c>
    </row>
    <row r="461" spans="1:13" x14ac:dyDescent="0.25">
      <c r="A461" t="s">
        <v>13</v>
      </c>
      <c r="B461" t="s">
        <v>26</v>
      </c>
      <c r="C461">
        <v>2491</v>
      </c>
      <c r="D461" t="s">
        <v>831</v>
      </c>
      <c r="E461" t="str">
        <f>VLOOKUP(D:D,Hoja2!A:B,2,FALSE)</f>
        <v>GAVETECO SAICFeI</v>
      </c>
      <c r="F461" t="s">
        <v>29</v>
      </c>
      <c r="G461" t="s">
        <v>18</v>
      </c>
      <c r="H461" t="s">
        <v>831</v>
      </c>
      <c r="I461" t="s">
        <v>860</v>
      </c>
      <c r="J461" s="1">
        <v>644857.5</v>
      </c>
      <c r="K461" s="1">
        <v>644857.5</v>
      </c>
      <c r="L461" t="s">
        <v>24</v>
      </c>
      <c r="M461" t="s">
        <v>861</v>
      </c>
    </row>
    <row r="462" spans="1:13" x14ac:dyDescent="0.25">
      <c r="A462" t="s">
        <v>13</v>
      </c>
      <c r="B462" t="s">
        <v>32</v>
      </c>
      <c r="C462">
        <v>119</v>
      </c>
      <c r="D462" t="s">
        <v>831</v>
      </c>
      <c r="E462" t="str">
        <f>VLOOKUP(D:D,Hoja2!A:B,2,FALSE)</f>
        <v>GAVETECO SAICFeI</v>
      </c>
      <c r="F462" t="s">
        <v>29</v>
      </c>
      <c r="G462" t="s">
        <v>18</v>
      </c>
      <c r="H462" t="s">
        <v>831</v>
      </c>
      <c r="I462" t="s">
        <v>860</v>
      </c>
      <c r="J462" s="1">
        <v>-644857.5</v>
      </c>
      <c r="K462" s="1">
        <v>0</v>
      </c>
      <c r="L462" t="s">
        <v>24</v>
      </c>
      <c r="M462" t="s">
        <v>862</v>
      </c>
    </row>
    <row r="463" spans="1:13" x14ac:dyDescent="0.25">
      <c r="A463" t="s">
        <v>13</v>
      </c>
      <c r="B463" t="s">
        <v>26</v>
      </c>
      <c r="C463">
        <v>2888</v>
      </c>
      <c r="D463" t="s">
        <v>831</v>
      </c>
      <c r="E463" t="str">
        <f>VLOOKUP(D:D,Hoja2!A:B,2,FALSE)</f>
        <v>GAVETECO SAICFeI</v>
      </c>
      <c r="F463" t="s">
        <v>29</v>
      </c>
      <c r="G463" t="s">
        <v>18</v>
      </c>
      <c r="H463" t="s">
        <v>831</v>
      </c>
      <c r="I463" t="s">
        <v>863</v>
      </c>
      <c r="J463" s="1">
        <v>2198449.58</v>
      </c>
      <c r="K463" s="1">
        <v>2198449.58</v>
      </c>
      <c r="L463" t="s">
        <v>24</v>
      </c>
      <c r="M463" t="s">
        <v>864</v>
      </c>
    </row>
    <row r="464" spans="1:13" x14ac:dyDescent="0.25">
      <c r="A464" t="s">
        <v>13</v>
      </c>
      <c r="B464" t="s">
        <v>26</v>
      </c>
      <c r="C464">
        <v>2891</v>
      </c>
      <c r="D464" t="s">
        <v>831</v>
      </c>
      <c r="E464" t="str">
        <f>VLOOKUP(D:D,Hoja2!A:B,2,FALSE)</f>
        <v>GAVETECO SAICFeI</v>
      </c>
      <c r="F464" t="s">
        <v>29</v>
      </c>
      <c r="G464" t="s">
        <v>18</v>
      </c>
      <c r="H464" t="s">
        <v>831</v>
      </c>
      <c r="I464" t="s">
        <v>865</v>
      </c>
      <c r="J464" s="1">
        <v>1216552.5</v>
      </c>
      <c r="K464" s="1">
        <v>3415002.08</v>
      </c>
      <c r="L464" t="s">
        <v>24</v>
      </c>
      <c r="M464" t="s">
        <v>866</v>
      </c>
    </row>
    <row r="465" spans="1:13" x14ac:dyDescent="0.25">
      <c r="A465" t="s">
        <v>13</v>
      </c>
      <c r="B465" t="s">
        <v>32</v>
      </c>
      <c r="C465">
        <v>144</v>
      </c>
      <c r="D465" t="s">
        <v>831</v>
      </c>
      <c r="E465" t="str">
        <f>VLOOKUP(D:D,Hoja2!A:B,2,FALSE)</f>
        <v>GAVETECO SAICFeI</v>
      </c>
      <c r="F465" t="s">
        <v>29</v>
      </c>
      <c r="G465" t="s">
        <v>18</v>
      </c>
      <c r="H465" t="s">
        <v>831</v>
      </c>
      <c r="I465" t="s">
        <v>865</v>
      </c>
      <c r="J465" s="1">
        <v>-2198449.58</v>
      </c>
      <c r="K465" s="1">
        <v>1216552.5</v>
      </c>
      <c r="L465" t="s">
        <v>24</v>
      </c>
      <c r="M465" t="s">
        <v>867</v>
      </c>
    </row>
    <row r="466" spans="1:13" x14ac:dyDescent="0.25">
      <c r="A466" t="s">
        <v>13</v>
      </c>
      <c r="B466" t="s">
        <v>32</v>
      </c>
      <c r="C466">
        <v>145</v>
      </c>
      <c r="D466" t="s">
        <v>831</v>
      </c>
      <c r="E466" t="str">
        <f>VLOOKUP(D:D,Hoja2!A:B,2,FALSE)</f>
        <v>GAVETECO SAICFeI</v>
      </c>
      <c r="F466" t="s">
        <v>29</v>
      </c>
      <c r="G466" t="s">
        <v>18</v>
      </c>
      <c r="H466" t="s">
        <v>831</v>
      </c>
      <c r="I466" t="s">
        <v>865</v>
      </c>
      <c r="J466" s="1">
        <v>-1216552.5</v>
      </c>
      <c r="K466" s="1">
        <v>0</v>
      </c>
      <c r="L466" t="s">
        <v>24</v>
      </c>
      <c r="M466" t="s">
        <v>868</v>
      </c>
    </row>
    <row r="467" spans="1:13" x14ac:dyDescent="0.25">
      <c r="A467" t="s">
        <v>13</v>
      </c>
      <c r="B467" t="s">
        <v>26</v>
      </c>
      <c r="C467">
        <v>3229</v>
      </c>
      <c r="D467" t="s">
        <v>831</v>
      </c>
      <c r="E467" t="str">
        <f>VLOOKUP(D:D,Hoja2!A:B,2,FALSE)</f>
        <v>GAVETECO SAICFeI</v>
      </c>
      <c r="F467" t="s">
        <v>29</v>
      </c>
      <c r="G467" t="s">
        <v>18</v>
      </c>
      <c r="H467" t="s">
        <v>831</v>
      </c>
      <c r="I467" t="s">
        <v>869</v>
      </c>
      <c r="J467" s="1">
        <v>1023000</v>
      </c>
      <c r="K467" s="1">
        <v>1023000</v>
      </c>
      <c r="L467" t="s">
        <v>24</v>
      </c>
      <c r="M467" t="s">
        <v>870</v>
      </c>
    </row>
    <row r="468" spans="1:13" x14ac:dyDescent="0.25">
      <c r="A468" t="s">
        <v>13</v>
      </c>
      <c r="B468" t="s">
        <v>26</v>
      </c>
      <c r="C468">
        <v>3235</v>
      </c>
      <c r="D468" t="s">
        <v>831</v>
      </c>
      <c r="E468" t="str">
        <f>VLOOKUP(D:D,Hoja2!A:B,2,FALSE)</f>
        <v>GAVETECO SAICFeI</v>
      </c>
      <c r="F468" t="s">
        <v>29</v>
      </c>
      <c r="G468" t="s">
        <v>18</v>
      </c>
      <c r="H468" t="s">
        <v>831</v>
      </c>
      <c r="I468" t="s">
        <v>871</v>
      </c>
      <c r="J468" s="1">
        <v>65550</v>
      </c>
      <c r="K468" s="1">
        <v>1088550</v>
      </c>
      <c r="L468" t="s">
        <v>24</v>
      </c>
      <c r="M468" t="s">
        <v>872</v>
      </c>
    </row>
    <row r="469" spans="1:13" x14ac:dyDescent="0.25">
      <c r="A469" t="s">
        <v>13</v>
      </c>
      <c r="B469" t="s">
        <v>26</v>
      </c>
      <c r="C469">
        <v>3240</v>
      </c>
      <c r="D469" t="s">
        <v>831</v>
      </c>
      <c r="E469" t="str">
        <f>VLOOKUP(D:D,Hoja2!A:B,2,FALSE)</f>
        <v>GAVETECO SAICFeI</v>
      </c>
      <c r="F469" t="s">
        <v>29</v>
      </c>
      <c r="G469" t="s">
        <v>18</v>
      </c>
      <c r="H469" t="s">
        <v>831</v>
      </c>
      <c r="I469" t="s">
        <v>871</v>
      </c>
      <c r="J469" s="1">
        <v>2309000</v>
      </c>
      <c r="K469" s="1">
        <v>3397550</v>
      </c>
      <c r="L469" t="s">
        <v>24</v>
      </c>
      <c r="M469" t="s">
        <v>873</v>
      </c>
    </row>
    <row r="470" spans="1:13" x14ac:dyDescent="0.25">
      <c r="A470" t="s">
        <v>13</v>
      </c>
      <c r="B470" t="s">
        <v>32</v>
      </c>
      <c r="C470">
        <v>155</v>
      </c>
      <c r="D470" t="s">
        <v>831</v>
      </c>
      <c r="E470" t="str">
        <f>VLOOKUP(D:D,Hoja2!A:B,2,FALSE)</f>
        <v>GAVETECO SAICFeI</v>
      </c>
      <c r="F470" t="s">
        <v>29</v>
      </c>
      <c r="G470" t="s">
        <v>18</v>
      </c>
      <c r="H470" t="s">
        <v>831</v>
      </c>
      <c r="I470" t="s">
        <v>874</v>
      </c>
      <c r="J470" s="1">
        <v>-1023000</v>
      </c>
      <c r="K470" s="1">
        <v>2374550</v>
      </c>
      <c r="L470" t="s">
        <v>24</v>
      </c>
      <c r="M470" t="s">
        <v>875</v>
      </c>
    </row>
    <row r="471" spans="1:13" x14ac:dyDescent="0.25">
      <c r="A471" t="s">
        <v>13</v>
      </c>
      <c r="B471" t="s">
        <v>32</v>
      </c>
      <c r="C471">
        <v>156</v>
      </c>
      <c r="D471" t="s">
        <v>831</v>
      </c>
      <c r="E471" t="str">
        <f>VLOOKUP(D:D,Hoja2!A:B,2,FALSE)</f>
        <v>GAVETECO SAICFeI</v>
      </c>
      <c r="F471" t="s">
        <v>29</v>
      </c>
      <c r="G471" t="s">
        <v>18</v>
      </c>
      <c r="H471" t="s">
        <v>831</v>
      </c>
      <c r="I471" t="s">
        <v>874</v>
      </c>
      <c r="J471" s="1">
        <v>-65550</v>
      </c>
      <c r="K471" s="1">
        <v>2309000</v>
      </c>
      <c r="L471" t="s">
        <v>24</v>
      </c>
      <c r="M471" t="s">
        <v>876</v>
      </c>
    </row>
    <row r="472" spans="1:13" x14ac:dyDescent="0.25">
      <c r="A472" t="s">
        <v>13</v>
      </c>
      <c r="B472" t="s">
        <v>32</v>
      </c>
      <c r="C472">
        <v>157</v>
      </c>
      <c r="D472" t="s">
        <v>831</v>
      </c>
      <c r="E472" t="str">
        <f>VLOOKUP(D:D,Hoja2!A:B,2,FALSE)</f>
        <v>GAVETECO SAICFeI</v>
      </c>
      <c r="F472" t="s">
        <v>29</v>
      </c>
      <c r="G472" t="s">
        <v>18</v>
      </c>
      <c r="H472" t="s">
        <v>831</v>
      </c>
      <c r="I472" t="s">
        <v>874</v>
      </c>
      <c r="J472" s="1">
        <v>-2309000</v>
      </c>
      <c r="K472" s="1">
        <v>0</v>
      </c>
      <c r="L472" t="s">
        <v>24</v>
      </c>
      <c r="M472" t="s">
        <v>877</v>
      </c>
    </row>
    <row r="473" spans="1:13" x14ac:dyDescent="0.25">
      <c r="A473" t="s">
        <v>13</v>
      </c>
      <c r="B473" t="s">
        <v>14</v>
      </c>
      <c r="C473">
        <v>7401</v>
      </c>
      <c r="D473" t="s">
        <v>831</v>
      </c>
      <c r="E473" t="str">
        <f>VLOOKUP(D:D,Hoja2!A:B,2,FALSE)</f>
        <v>GAVETECO SAICFeI</v>
      </c>
      <c r="F473" t="s">
        <v>29</v>
      </c>
      <c r="G473" t="s">
        <v>18</v>
      </c>
      <c r="H473" t="s">
        <v>831</v>
      </c>
      <c r="I473" t="s">
        <v>878</v>
      </c>
      <c r="J473" s="1">
        <v>-0.1</v>
      </c>
      <c r="K473" s="1">
        <v>-0.1</v>
      </c>
      <c r="L473" t="s">
        <v>20</v>
      </c>
      <c r="M473" t="s">
        <v>879</v>
      </c>
    </row>
    <row r="474" spans="1:13" x14ac:dyDescent="0.25">
      <c r="A474" t="s">
        <v>13</v>
      </c>
      <c r="B474" t="s">
        <v>26</v>
      </c>
      <c r="C474">
        <v>4016</v>
      </c>
      <c r="D474" t="s">
        <v>831</v>
      </c>
      <c r="E474" t="str">
        <f>VLOOKUP(D:D,Hoja2!A:B,2,FALSE)</f>
        <v>GAVETECO SAICFeI</v>
      </c>
      <c r="F474" t="s">
        <v>29</v>
      </c>
      <c r="G474" t="s">
        <v>18</v>
      </c>
      <c r="H474" t="s">
        <v>831</v>
      </c>
      <c r="I474" t="s">
        <v>880</v>
      </c>
      <c r="J474" s="1">
        <v>227.85</v>
      </c>
      <c r="K474" s="1">
        <v>227.75</v>
      </c>
      <c r="L474" t="s">
        <v>24</v>
      </c>
      <c r="M474" t="s">
        <v>881</v>
      </c>
    </row>
    <row r="475" spans="1:13" x14ac:dyDescent="0.25">
      <c r="A475" t="s">
        <v>13</v>
      </c>
      <c r="B475" t="s">
        <v>32</v>
      </c>
      <c r="C475">
        <v>191</v>
      </c>
      <c r="D475" t="s">
        <v>831</v>
      </c>
      <c r="E475" t="str">
        <f>VLOOKUP(D:D,Hoja2!A:B,2,FALSE)</f>
        <v>GAVETECO SAICFeI</v>
      </c>
      <c r="F475" t="s">
        <v>29</v>
      </c>
      <c r="G475" t="s">
        <v>18</v>
      </c>
      <c r="H475" t="s">
        <v>831</v>
      </c>
      <c r="I475" t="s">
        <v>143</v>
      </c>
      <c r="J475" s="1">
        <v>-380997.54</v>
      </c>
      <c r="K475" s="1">
        <v>-380769.79</v>
      </c>
      <c r="L475" t="s">
        <v>24</v>
      </c>
      <c r="M475" t="s">
        <v>882</v>
      </c>
    </row>
    <row r="476" spans="1:13" x14ac:dyDescent="0.25">
      <c r="A476" t="s">
        <v>13</v>
      </c>
      <c r="B476" t="s">
        <v>26</v>
      </c>
      <c r="C476">
        <v>4194</v>
      </c>
      <c r="D476" t="s">
        <v>831</v>
      </c>
      <c r="E476" t="str">
        <f>VLOOKUP(D:D,Hoja2!A:B,2,FALSE)</f>
        <v>GAVETECO SAICFeI</v>
      </c>
      <c r="F476" t="s">
        <v>29</v>
      </c>
      <c r="G476" t="s">
        <v>18</v>
      </c>
      <c r="H476" t="s">
        <v>831</v>
      </c>
      <c r="I476" t="s">
        <v>883</v>
      </c>
      <c r="J476" s="1">
        <v>380997.36</v>
      </c>
      <c r="K476" s="1">
        <v>227.57000000000701</v>
      </c>
      <c r="L476" t="s">
        <v>24</v>
      </c>
      <c r="M476" t="s">
        <v>884</v>
      </c>
    </row>
    <row r="477" spans="1:13" x14ac:dyDescent="0.25">
      <c r="A477" t="s">
        <v>13</v>
      </c>
      <c r="B477" t="s">
        <v>885</v>
      </c>
      <c r="C477">
        <v>12</v>
      </c>
      <c r="D477" t="s">
        <v>831</v>
      </c>
      <c r="E477" t="str">
        <f>VLOOKUP(D:D,Hoja2!A:B,2,FALSE)</f>
        <v>GAVETECO SAICFeI</v>
      </c>
      <c r="F477" t="s">
        <v>29</v>
      </c>
      <c r="G477" t="s">
        <v>61</v>
      </c>
      <c r="H477" t="s">
        <v>831</v>
      </c>
      <c r="I477" t="s">
        <v>62</v>
      </c>
      <c r="J477" s="1">
        <v>-227.57</v>
      </c>
      <c r="K477" s="1">
        <v>6.9917405198793899E-12</v>
      </c>
      <c r="L477" t="s">
        <v>63</v>
      </c>
      <c r="M477" t="s">
        <v>886</v>
      </c>
    </row>
  </sheetData>
  <autoFilter ref="A1:M477" xr:uid="{58D02E25-CCC6-426F-A955-4638C3708979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8EDD1-5FC9-4DE7-B7C4-A43F8D829E1B}">
  <dimension ref="A1:B822"/>
  <sheetViews>
    <sheetView workbookViewId="0">
      <selection sqref="A1:XFD1"/>
    </sheetView>
  </sheetViews>
  <sheetFormatPr baseColWidth="10" defaultRowHeight="15" x14ac:dyDescent="0.25"/>
  <sheetData>
    <row r="1" spans="1:2" x14ac:dyDescent="0.25">
      <c r="A1" t="s">
        <v>887</v>
      </c>
      <c r="B1" t="s">
        <v>4</v>
      </c>
    </row>
    <row r="2" spans="1:2" x14ac:dyDescent="0.25">
      <c r="A2" t="s">
        <v>888</v>
      </c>
      <c r="B2" t="s">
        <v>889</v>
      </c>
    </row>
    <row r="3" spans="1:2" x14ac:dyDescent="0.25">
      <c r="A3" t="s">
        <v>890</v>
      </c>
      <c r="B3" t="s">
        <v>891</v>
      </c>
    </row>
    <row r="4" spans="1:2" x14ac:dyDescent="0.25">
      <c r="A4" t="s">
        <v>892</v>
      </c>
      <c r="B4" t="s">
        <v>893</v>
      </c>
    </row>
    <row r="5" spans="1:2" x14ac:dyDescent="0.25">
      <c r="A5" t="s">
        <v>894</v>
      </c>
      <c r="B5" t="s">
        <v>895</v>
      </c>
    </row>
    <row r="6" spans="1:2" x14ac:dyDescent="0.25">
      <c r="A6" t="s">
        <v>896</v>
      </c>
      <c r="B6" t="s">
        <v>897</v>
      </c>
    </row>
    <row r="7" spans="1:2" x14ac:dyDescent="0.25">
      <c r="A7" t="s">
        <v>898</v>
      </c>
      <c r="B7" t="s">
        <v>899</v>
      </c>
    </row>
    <row r="8" spans="1:2" x14ac:dyDescent="0.25">
      <c r="A8" t="s">
        <v>900</v>
      </c>
      <c r="B8" t="s">
        <v>901</v>
      </c>
    </row>
    <row r="9" spans="1:2" x14ac:dyDescent="0.25">
      <c r="A9" t="s">
        <v>902</v>
      </c>
      <c r="B9" t="s">
        <v>903</v>
      </c>
    </row>
    <row r="10" spans="1:2" x14ac:dyDescent="0.25">
      <c r="A10" t="s">
        <v>904</v>
      </c>
      <c r="B10" t="s">
        <v>905</v>
      </c>
    </row>
    <row r="11" spans="1:2" x14ac:dyDescent="0.25">
      <c r="A11" t="s">
        <v>725</v>
      </c>
      <c r="B11" t="s">
        <v>726</v>
      </c>
    </row>
    <row r="12" spans="1:2" x14ac:dyDescent="0.25">
      <c r="A12" t="s">
        <v>906</v>
      </c>
      <c r="B12" t="s">
        <v>907</v>
      </c>
    </row>
    <row r="13" spans="1:2" x14ac:dyDescent="0.25">
      <c r="A13" t="s">
        <v>908</v>
      </c>
      <c r="B13" t="s">
        <v>909</v>
      </c>
    </row>
    <row r="14" spans="1:2" x14ac:dyDescent="0.25">
      <c r="A14" t="s">
        <v>910</v>
      </c>
      <c r="B14" t="s">
        <v>911</v>
      </c>
    </row>
    <row r="15" spans="1:2" x14ac:dyDescent="0.25">
      <c r="A15" t="s">
        <v>912</v>
      </c>
      <c r="B15" t="s">
        <v>913</v>
      </c>
    </row>
    <row r="16" spans="1:2" x14ac:dyDescent="0.25">
      <c r="A16" t="s">
        <v>914</v>
      </c>
      <c r="B16" t="s">
        <v>915</v>
      </c>
    </row>
    <row r="17" spans="1:2" x14ac:dyDescent="0.25">
      <c r="A17" t="s">
        <v>916</v>
      </c>
      <c r="B17" t="s">
        <v>917</v>
      </c>
    </row>
    <row r="18" spans="1:2" x14ac:dyDescent="0.25">
      <c r="A18" t="s">
        <v>918</v>
      </c>
      <c r="B18" t="s">
        <v>919</v>
      </c>
    </row>
    <row r="19" spans="1:2" x14ac:dyDescent="0.25">
      <c r="A19" t="s">
        <v>920</v>
      </c>
      <c r="B19" t="s">
        <v>921</v>
      </c>
    </row>
    <row r="20" spans="1:2" x14ac:dyDescent="0.25">
      <c r="A20" t="s">
        <v>922</v>
      </c>
      <c r="B20" t="s">
        <v>923</v>
      </c>
    </row>
    <row r="21" spans="1:2" x14ac:dyDescent="0.25">
      <c r="A21" t="s">
        <v>924</v>
      </c>
      <c r="B21" t="s">
        <v>925</v>
      </c>
    </row>
    <row r="22" spans="1:2" x14ac:dyDescent="0.25">
      <c r="A22" t="s">
        <v>926</v>
      </c>
      <c r="B22" t="s">
        <v>927</v>
      </c>
    </row>
    <row r="23" spans="1:2" x14ac:dyDescent="0.25">
      <c r="A23" t="s">
        <v>928</v>
      </c>
      <c r="B23" t="s">
        <v>929</v>
      </c>
    </row>
    <row r="24" spans="1:2" x14ac:dyDescent="0.25">
      <c r="A24" t="s">
        <v>930</v>
      </c>
      <c r="B24" t="s">
        <v>931</v>
      </c>
    </row>
    <row r="25" spans="1:2" x14ac:dyDescent="0.25">
      <c r="A25" t="s">
        <v>932</v>
      </c>
      <c r="B25" t="s">
        <v>933</v>
      </c>
    </row>
    <row r="26" spans="1:2" x14ac:dyDescent="0.25">
      <c r="A26" t="s">
        <v>934</v>
      </c>
      <c r="B26" t="s">
        <v>935</v>
      </c>
    </row>
    <row r="27" spans="1:2" x14ac:dyDescent="0.25">
      <c r="A27" t="s">
        <v>936</v>
      </c>
      <c r="B27" t="s">
        <v>937</v>
      </c>
    </row>
    <row r="28" spans="1:2" x14ac:dyDescent="0.25">
      <c r="A28" t="s">
        <v>938</v>
      </c>
      <c r="B28" t="s">
        <v>939</v>
      </c>
    </row>
    <row r="29" spans="1:2" x14ac:dyDescent="0.25">
      <c r="A29" t="s">
        <v>940</v>
      </c>
      <c r="B29" t="s">
        <v>941</v>
      </c>
    </row>
    <row r="30" spans="1:2" x14ac:dyDescent="0.25">
      <c r="A30" t="s">
        <v>942</v>
      </c>
      <c r="B30" t="s">
        <v>943</v>
      </c>
    </row>
    <row r="31" spans="1:2" x14ac:dyDescent="0.25">
      <c r="A31" t="s">
        <v>944</v>
      </c>
      <c r="B31" t="s">
        <v>945</v>
      </c>
    </row>
    <row r="32" spans="1:2" x14ac:dyDescent="0.25">
      <c r="A32" t="s">
        <v>946</v>
      </c>
      <c r="B32" t="s">
        <v>947</v>
      </c>
    </row>
    <row r="33" spans="1:2" x14ac:dyDescent="0.25">
      <c r="A33" t="s">
        <v>948</v>
      </c>
      <c r="B33" t="s">
        <v>949</v>
      </c>
    </row>
    <row r="34" spans="1:2" x14ac:dyDescent="0.25">
      <c r="A34" t="s">
        <v>950</v>
      </c>
      <c r="B34" t="s">
        <v>951</v>
      </c>
    </row>
    <row r="35" spans="1:2" x14ac:dyDescent="0.25">
      <c r="A35" t="s">
        <v>952</v>
      </c>
      <c r="B35" t="s">
        <v>953</v>
      </c>
    </row>
    <row r="36" spans="1:2" x14ac:dyDescent="0.25">
      <c r="A36" t="s">
        <v>954</v>
      </c>
      <c r="B36" t="s">
        <v>955</v>
      </c>
    </row>
    <row r="37" spans="1:2" x14ac:dyDescent="0.25">
      <c r="A37" t="s">
        <v>956</v>
      </c>
      <c r="B37" t="s">
        <v>957</v>
      </c>
    </row>
    <row r="38" spans="1:2" x14ac:dyDescent="0.25">
      <c r="A38" t="s">
        <v>958</v>
      </c>
      <c r="B38" t="s">
        <v>959</v>
      </c>
    </row>
    <row r="39" spans="1:2" x14ac:dyDescent="0.25">
      <c r="A39" t="s">
        <v>960</v>
      </c>
      <c r="B39" t="s">
        <v>961</v>
      </c>
    </row>
    <row r="40" spans="1:2" x14ac:dyDescent="0.25">
      <c r="A40" t="s">
        <v>962</v>
      </c>
      <c r="B40" t="s">
        <v>963</v>
      </c>
    </row>
    <row r="41" spans="1:2" x14ac:dyDescent="0.25">
      <c r="A41" t="s">
        <v>964</v>
      </c>
      <c r="B41" t="s">
        <v>965</v>
      </c>
    </row>
    <row r="42" spans="1:2" x14ac:dyDescent="0.25">
      <c r="A42" t="s">
        <v>966</v>
      </c>
      <c r="B42" t="s">
        <v>967</v>
      </c>
    </row>
    <row r="43" spans="1:2" x14ac:dyDescent="0.25">
      <c r="A43" t="s">
        <v>968</v>
      </c>
      <c r="B43" t="s">
        <v>969</v>
      </c>
    </row>
    <row r="44" spans="1:2" x14ac:dyDescent="0.25">
      <c r="A44" t="s">
        <v>970</v>
      </c>
      <c r="B44" t="s">
        <v>971</v>
      </c>
    </row>
    <row r="45" spans="1:2" x14ac:dyDescent="0.25">
      <c r="A45" t="s">
        <v>972</v>
      </c>
      <c r="B45" t="s">
        <v>973</v>
      </c>
    </row>
    <row r="46" spans="1:2" x14ac:dyDescent="0.25">
      <c r="A46" t="s">
        <v>974</v>
      </c>
      <c r="B46" t="s">
        <v>975</v>
      </c>
    </row>
    <row r="47" spans="1:2" x14ac:dyDescent="0.25">
      <c r="A47" t="s">
        <v>976</v>
      </c>
      <c r="B47" t="s">
        <v>977</v>
      </c>
    </row>
    <row r="48" spans="1:2" x14ac:dyDescent="0.25">
      <c r="A48" t="s">
        <v>978</v>
      </c>
      <c r="B48" t="s">
        <v>979</v>
      </c>
    </row>
    <row r="49" spans="1:2" x14ac:dyDescent="0.25">
      <c r="A49" t="s">
        <v>980</v>
      </c>
      <c r="B49" t="s">
        <v>981</v>
      </c>
    </row>
    <row r="50" spans="1:2" x14ac:dyDescent="0.25">
      <c r="A50" t="s">
        <v>982</v>
      </c>
      <c r="B50" t="s">
        <v>983</v>
      </c>
    </row>
    <row r="51" spans="1:2" x14ac:dyDescent="0.25">
      <c r="A51" t="s">
        <v>984</v>
      </c>
      <c r="B51" t="s">
        <v>985</v>
      </c>
    </row>
    <row r="52" spans="1:2" x14ac:dyDescent="0.25">
      <c r="A52" t="s">
        <v>986</v>
      </c>
      <c r="B52" t="s">
        <v>987</v>
      </c>
    </row>
    <row r="53" spans="1:2" x14ac:dyDescent="0.25">
      <c r="A53" t="s">
        <v>988</v>
      </c>
      <c r="B53" t="s">
        <v>989</v>
      </c>
    </row>
    <row r="54" spans="1:2" x14ac:dyDescent="0.25">
      <c r="A54" t="s">
        <v>990</v>
      </c>
      <c r="B54" t="s">
        <v>991</v>
      </c>
    </row>
    <row r="55" spans="1:2" x14ac:dyDescent="0.25">
      <c r="A55" t="s">
        <v>992</v>
      </c>
      <c r="B55" t="s">
        <v>993</v>
      </c>
    </row>
    <row r="56" spans="1:2" x14ac:dyDescent="0.25">
      <c r="A56" t="s">
        <v>994</v>
      </c>
      <c r="B56" t="s">
        <v>995</v>
      </c>
    </row>
    <row r="57" spans="1:2" x14ac:dyDescent="0.25">
      <c r="A57" t="s">
        <v>996</v>
      </c>
      <c r="B57" t="s">
        <v>997</v>
      </c>
    </row>
    <row r="58" spans="1:2" x14ac:dyDescent="0.25">
      <c r="A58" t="s">
        <v>998</v>
      </c>
      <c r="B58" t="s">
        <v>999</v>
      </c>
    </row>
    <row r="59" spans="1:2" x14ac:dyDescent="0.25">
      <c r="A59" t="s">
        <v>1000</v>
      </c>
      <c r="B59" t="s">
        <v>1001</v>
      </c>
    </row>
    <row r="60" spans="1:2" x14ac:dyDescent="0.25">
      <c r="A60" t="s">
        <v>1002</v>
      </c>
      <c r="B60" t="s">
        <v>1003</v>
      </c>
    </row>
    <row r="61" spans="1:2" x14ac:dyDescent="0.25">
      <c r="A61" t="s">
        <v>1004</v>
      </c>
      <c r="B61" t="s">
        <v>1005</v>
      </c>
    </row>
    <row r="62" spans="1:2" x14ac:dyDescent="0.25">
      <c r="A62" t="s">
        <v>1006</v>
      </c>
      <c r="B62" t="s">
        <v>1007</v>
      </c>
    </row>
    <row r="63" spans="1:2" x14ac:dyDescent="0.25">
      <c r="A63" t="s">
        <v>1008</v>
      </c>
      <c r="B63" t="s">
        <v>1009</v>
      </c>
    </row>
    <row r="64" spans="1:2" x14ac:dyDescent="0.25">
      <c r="A64" t="s">
        <v>1010</v>
      </c>
      <c r="B64" t="s">
        <v>1011</v>
      </c>
    </row>
    <row r="65" spans="1:2" x14ac:dyDescent="0.25">
      <c r="A65" t="s">
        <v>1012</v>
      </c>
      <c r="B65" t="s">
        <v>1013</v>
      </c>
    </row>
    <row r="66" spans="1:2" x14ac:dyDescent="0.25">
      <c r="A66" t="s">
        <v>1014</v>
      </c>
      <c r="B66" t="s">
        <v>1015</v>
      </c>
    </row>
    <row r="67" spans="1:2" x14ac:dyDescent="0.25">
      <c r="A67" t="s">
        <v>1016</v>
      </c>
      <c r="B67" t="s">
        <v>1017</v>
      </c>
    </row>
    <row r="68" spans="1:2" x14ac:dyDescent="0.25">
      <c r="A68" t="s">
        <v>1018</v>
      </c>
      <c r="B68" t="s">
        <v>1019</v>
      </c>
    </row>
    <row r="69" spans="1:2" x14ac:dyDescent="0.25">
      <c r="A69" t="s">
        <v>1020</v>
      </c>
      <c r="B69" t="s">
        <v>1021</v>
      </c>
    </row>
    <row r="70" spans="1:2" x14ac:dyDescent="0.25">
      <c r="A70" t="s">
        <v>1022</v>
      </c>
      <c r="B70" t="s">
        <v>1023</v>
      </c>
    </row>
    <row r="71" spans="1:2" x14ac:dyDescent="0.25">
      <c r="A71" t="s">
        <v>1024</v>
      </c>
      <c r="B71" t="s">
        <v>1025</v>
      </c>
    </row>
    <row r="72" spans="1:2" x14ac:dyDescent="0.25">
      <c r="A72" t="s">
        <v>1026</v>
      </c>
      <c r="B72" t="s">
        <v>1027</v>
      </c>
    </row>
    <row r="73" spans="1:2" x14ac:dyDescent="0.25">
      <c r="A73" t="s">
        <v>1028</v>
      </c>
      <c r="B73" t="s">
        <v>1029</v>
      </c>
    </row>
    <row r="74" spans="1:2" x14ac:dyDescent="0.25">
      <c r="A74" t="s">
        <v>1030</v>
      </c>
      <c r="B74" t="s">
        <v>1031</v>
      </c>
    </row>
    <row r="75" spans="1:2" x14ac:dyDescent="0.25">
      <c r="A75" t="s">
        <v>1032</v>
      </c>
      <c r="B75" t="s">
        <v>1033</v>
      </c>
    </row>
    <row r="76" spans="1:2" x14ac:dyDescent="0.25">
      <c r="A76" t="s">
        <v>1034</v>
      </c>
      <c r="B76" t="s">
        <v>1035</v>
      </c>
    </row>
    <row r="77" spans="1:2" x14ac:dyDescent="0.25">
      <c r="A77" t="s">
        <v>1036</v>
      </c>
      <c r="B77" t="s">
        <v>1037</v>
      </c>
    </row>
    <row r="78" spans="1:2" x14ac:dyDescent="0.25">
      <c r="A78" t="s">
        <v>1038</v>
      </c>
      <c r="B78" t="s">
        <v>1039</v>
      </c>
    </row>
    <row r="79" spans="1:2" x14ac:dyDescent="0.25">
      <c r="A79" t="s">
        <v>1040</v>
      </c>
      <c r="B79" t="s">
        <v>1041</v>
      </c>
    </row>
    <row r="80" spans="1:2" x14ac:dyDescent="0.25">
      <c r="A80" t="s">
        <v>1042</v>
      </c>
      <c r="B80" t="s">
        <v>1043</v>
      </c>
    </row>
    <row r="81" spans="1:2" x14ac:dyDescent="0.25">
      <c r="A81" t="s">
        <v>1044</v>
      </c>
      <c r="B81" t="s">
        <v>1045</v>
      </c>
    </row>
    <row r="82" spans="1:2" x14ac:dyDescent="0.25">
      <c r="A82" t="s">
        <v>1046</v>
      </c>
      <c r="B82" t="s">
        <v>1047</v>
      </c>
    </row>
    <row r="83" spans="1:2" x14ac:dyDescent="0.25">
      <c r="A83" t="s">
        <v>1048</v>
      </c>
      <c r="B83" t="s">
        <v>1049</v>
      </c>
    </row>
    <row r="84" spans="1:2" x14ac:dyDescent="0.25">
      <c r="A84" t="s">
        <v>1050</v>
      </c>
      <c r="B84" t="s">
        <v>1051</v>
      </c>
    </row>
    <row r="85" spans="1:2" x14ac:dyDescent="0.25">
      <c r="A85" t="s">
        <v>1052</v>
      </c>
      <c r="B85" t="s">
        <v>1053</v>
      </c>
    </row>
    <row r="86" spans="1:2" x14ac:dyDescent="0.25">
      <c r="A86" t="s">
        <v>1054</v>
      </c>
      <c r="B86" t="s">
        <v>1055</v>
      </c>
    </row>
    <row r="87" spans="1:2" x14ac:dyDescent="0.25">
      <c r="A87" t="s">
        <v>1056</v>
      </c>
      <c r="B87" t="s">
        <v>1057</v>
      </c>
    </row>
    <row r="88" spans="1:2" x14ac:dyDescent="0.25">
      <c r="A88" t="s">
        <v>1058</v>
      </c>
      <c r="B88" t="s">
        <v>1059</v>
      </c>
    </row>
    <row r="89" spans="1:2" x14ac:dyDescent="0.25">
      <c r="A89" t="s">
        <v>1060</v>
      </c>
      <c r="B89" t="s">
        <v>1061</v>
      </c>
    </row>
    <row r="90" spans="1:2" x14ac:dyDescent="0.25">
      <c r="A90" t="s">
        <v>1062</v>
      </c>
      <c r="B90" t="s">
        <v>1063</v>
      </c>
    </row>
    <row r="91" spans="1:2" x14ac:dyDescent="0.25">
      <c r="A91" t="s">
        <v>1064</v>
      </c>
      <c r="B91" t="s">
        <v>1065</v>
      </c>
    </row>
    <row r="92" spans="1:2" x14ac:dyDescent="0.25">
      <c r="A92" t="s">
        <v>1066</v>
      </c>
      <c r="B92" t="s">
        <v>1067</v>
      </c>
    </row>
    <row r="93" spans="1:2" x14ac:dyDescent="0.25">
      <c r="A93" t="s">
        <v>1068</v>
      </c>
      <c r="B93" t="s">
        <v>1069</v>
      </c>
    </row>
    <row r="94" spans="1:2" x14ac:dyDescent="0.25">
      <c r="A94" t="s">
        <v>1070</v>
      </c>
      <c r="B94" t="s">
        <v>1071</v>
      </c>
    </row>
    <row r="95" spans="1:2" x14ac:dyDescent="0.25">
      <c r="A95" t="s">
        <v>1072</v>
      </c>
      <c r="B95" t="s">
        <v>1073</v>
      </c>
    </row>
    <row r="96" spans="1:2" x14ac:dyDescent="0.25">
      <c r="A96" t="s">
        <v>1074</v>
      </c>
      <c r="B96" t="s">
        <v>1075</v>
      </c>
    </row>
    <row r="97" spans="1:2" x14ac:dyDescent="0.25">
      <c r="A97" t="s">
        <v>1076</v>
      </c>
      <c r="B97" t="s">
        <v>1077</v>
      </c>
    </row>
    <row r="98" spans="1:2" x14ac:dyDescent="0.25">
      <c r="A98" t="s">
        <v>1078</v>
      </c>
      <c r="B98" t="s">
        <v>1079</v>
      </c>
    </row>
    <row r="99" spans="1:2" x14ac:dyDescent="0.25">
      <c r="A99" t="s">
        <v>1080</v>
      </c>
      <c r="B99" t="s">
        <v>1081</v>
      </c>
    </row>
    <row r="100" spans="1:2" x14ac:dyDescent="0.25">
      <c r="A100" t="s">
        <v>1082</v>
      </c>
      <c r="B100" t="s">
        <v>1083</v>
      </c>
    </row>
    <row r="101" spans="1:2" x14ac:dyDescent="0.25">
      <c r="A101" t="s">
        <v>1084</v>
      </c>
      <c r="B101" t="s">
        <v>1085</v>
      </c>
    </row>
    <row r="102" spans="1:2" x14ac:dyDescent="0.25">
      <c r="A102" t="s">
        <v>1086</v>
      </c>
      <c r="B102" t="s">
        <v>1087</v>
      </c>
    </row>
    <row r="103" spans="1:2" x14ac:dyDescent="0.25">
      <c r="A103" t="s">
        <v>1088</v>
      </c>
      <c r="B103" t="s">
        <v>1089</v>
      </c>
    </row>
    <row r="104" spans="1:2" x14ac:dyDescent="0.25">
      <c r="A104" t="s">
        <v>1090</v>
      </c>
      <c r="B104" t="s">
        <v>1091</v>
      </c>
    </row>
    <row r="105" spans="1:2" x14ac:dyDescent="0.25">
      <c r="A105" t="s">
        <v>1092</v>
      </c>
      <c r="B105" t="s">
        <v>1093</v>
      </c>
    </row>
    <row r="106" spans="1:2" x14ac:dyDescent="0.25">
      <c r="A106" t="s">
        <v>1094</v>
      </c>
      <c r="B106" t="s">
        <v>1095</v>
      </c>
    </row>
    <row r="107" spans="1:2" x14ac:dyDescent="0.25">
      <c r="A107" t="s">
        <v>1096</v>
      </c>
      <c r="B107" t="s">
        <v>1097</v>
      </c>
    </row>
    <row r="108" spans="1:2" x14ac:dyDescent="0.25">
      <c r="A108" t="s">
        <v>1098</v>
      </c>
      <c r="B108" t="s">
        <v>1099</v>
      </c>
    </row>
    <row r="109" spans="1:2" x14ac:dyDescent="0.25">
      <c r="A109" t="s">
        <v>1100</v>
      </c>
      <c r="B109" t="s">
        <v>1101</v>
      </c>
    </row>
    <row r="110" spans="1:2" x14ac:dyDescent="0.25">
      <c r="A110" t="s">
        <v>1102</v>
      </c>
      <c r="B110" t="s">
        <v>1101</v>
      </c>
    </row>
    <row r="111" spans="1:2" x14ac:dyDescent="0.25">
      <c r="A111" t="s">
        <v>1103</v>
      </c>
      <c r="B111" t="s">
        <v>1104</v>
      </c>
    </row>
    <row r="112" spans="1:2" x14ac:dyDescent="0.25">
      <c r="A112" t="s">
        <v>1105</v>
      </c>
      <c r="B112" t="s">
        <v>1106</v>
      </c>
    </row>
    <row r="113" spans="1:2" x14ac:dyDescent="0.25">
      <c r="A113" t="s">
        <v>1107</v>
      </c>
      <c r="B113" t="s">
        <v>1108</v>
      </c>
    </row>
    <row r="114" spans="1:2" x14ac:dyDescent="0.25">
      <c r="A114" t="s">
        <v>1109</v>
      </c>
      <c r="B114" t="s">
        <v>1110</v>
      </c>
    </row>
    <row r="115" spans="1:2" x14ac:dyDescent="0.25">
      <c r="A115" t="s">
        <v>1111</v>
      </c>
      <c r="B115" t="s">
        <v>1112</v>
      </c>
    </row>
    <row r="116" spans="1:2" x14ac:dyDescent="0.25">
      <c r="A116" t="s">
        <v>1113</v>
      </c>
      <c r="B116" t="s">
        <v>1114</v>
      </c>
    </row>
    <row r="117" spans="1:2" x14ac:dyDescent="0.25">
      <c r="A117" t="s">
        <v>1115</v>
      </c>
      <c r="B117" t="s">
        <v>1116</v>
      </c>
    </row>
    <row r="118" spans="1:2" x14ac:dyDescent="0.25">
      <c r="A118" t="s">
        <v>1117</v>
      </c>
      <c r="B118" t="s">
        <v>1118</v>
      </c>
    </row>
    <row r="119" spans="1:2" x14ac:dyDescent="0.25">
      <c r="A119" t="s">
        <v>1119</v>
      </c>
      <c r="B119" t="s">
        <v>1120</v>
      </c>
    </row>
    <row r="120" spans="1:2" x14ac:dyDescent="0.25">
      <c r="A120" t="s">
        <v>1121</v>
      </c>
      <c r="B120" t="s">
        <v>1122</v>
      </c>
    </row>
    <row r="121" spans="1:2" x14ac:dyDescent="0.25">
      <c r="A121" t="s">
        <v>1123</v>
      </c>
      <c r="B121" t="s">
        <v>1124</v>
      </c>
    </row>
    <row r="122" spans="1:2" x14ac:dyDescent="0.25">
      <c r="A122" t="s">
        <v>1125</v>
      </c>
      <c r="B122" t="s">
        <v>1126</v>
      </c>
    </row>
    <row r="123" spans="1:2" x14ac:dyDescent="0.25">
      <c r="A123" t="s">
        <v>1127</v>
      </c>
      <c r="B123" t="s">
        <v>1128</v>
      </c>
    </row>
    <row r="124" spans="1:2" x14ac:dyDescent="0.25">
      <c r="A124" t="s">
        <v>1129</v>
      </c>
      <c r="B124" t="s">
        <v>1130</v>
      </c>
    </row>
    <row r="125" spans="1:2" x14ac:dyDescent="0.25">
      <c r="A125" t="s">
        <v>1131</v>
      </c>
      <c r="B125" t="s">
        <v>1132</v>
      </c>
    </row>
    <row r="126" spans="1:2" x14ac:dyDescent="0.25">
      <c r="A126" t="s">
        <v>1133</v>
      </c>
      <c r="B126" t="s">
        <v>1134</v>
      </c>
    </row>
    <row r="127" spans="1:2" x14ac:dyDescent="0.25">
      <c r="A127" t="s">
        <v>1135</v>
      </c>
      <c r="B127" t="s">
        <v>1136</v>
      </c>
    </row>
    <row r="128" spans="1:2" x14ac:dyDescent="0.25">
      <c r="A128" t="s">
        <v>1137</v>
      </c>
      <c r="B128" t="s">
        <v>1138</v>
      </c>
    </row>
    <row r="129" spans="1:2" x14ac:dyDescent="0.25">
      <c r="A129" t="s">
        <v>1139</v>
      </c>
      <c r="B129" t="s">
        <v>1140</v>
      </c>
    </row>
    <row r="130" spans="1:2" x14ac:dyDescent="0.25">
      <c r="A130" t="s">
        <v>1141</v>
      </c>
      <c r="B130" t="s">
        <v>1142</v>
      </c>
    </row>
    <row r="131" spans="1:2" x14ac:dyDescent="0.25">
      <c r="A131" t="s">
        <v>1143</v>
      </c>
      <c r="B131" t="s">
        <v>1144</v>
      </c>
    </row>
    <row r="132" spans="1:2" x14ac:dyDescent="0.25">
      <c r="A132" t="s">
        <v>1145</v>
      </c>
      <c r="B132" t="s">
        <v>1146</v>
      </c>
    </row>
    <row r="133" spans="1:2" x14ac:dyDescent="0.25">
      <c r="A133" t="s">
        <v>1147</v>
      </c>
      <c r="B133" t="s">
        <v>1148</v>
      </c>
    </row>
    <row r="134" spans="1:2" x14ac:dyDescent="0.25">
      <c r="A134" t="s">
        <v>1149</v>
      </c>
      <c r="B134" t="s">
        <v>1150</v>
      </c>
    </row>
    <row r="135" spans="1:2" x14ac:dyDescent="0.25">
      <c r="A135" t="s">
        <v>1151</v>
      </c>
      <c r="B135" t="s">
        <v>1152</v>
      </c>
    </row>
    <row r="136" spans="1:2" x14ac:dyDescent="0.25">
      <c r="A136" t="s">
        <v>1153</v>
      </c>
      <c r="B136" t="s">
        <v>1154</v>
      </c>
    </row>
    <row r="137" spans="1:2" x14ac:dyDescent="0.25">
      <c r="A137" t="s">
        <v>1155</v>
      </c>
      <c r="B137" t="s">
        <v>1156</v>
      </c>
    </row>
    <row r="138" spans="1:2" x14ac:dyDescent="0.25">
      <c r="A138" t="s">
        <v>1157</v>
      </c>
      <c r="B138" t="s">
        <v>1158</v>
      </c>
    </row>
    <row r="139" spans="1:2" x14ac:dyDescent="0.25">
      <c r="A139" t="s">
        <v>1159</v>
      </c>
      <c r="B139" t="s">
        <v>1160</v>
      </c>
    </row>
    <row r="140" spans="1:2" x14ac:dyDescent="0.25">
      <c r="A140" t="s">
        <v>1161</v>
      </c>
      <c r="B140" t="s">
        <v>1162</v>
      </c>
    </row>
    <row r="141" spans="1:2" x14ac:dyDescent="0.25">
      <c r="A141" t="s">
        <v>1163</v>
      </c>
      <c r="B141" t="s">
        <v>1164</v>
      </c>
    </row>
    <row r="142" spans="1:2" x14ac:dyDescent="0.25">
      <c r="A142" t="s">
        <v>1165</v>
      </c>
      <c r="B142" t="s">
        <v>1166</v>
      </c>
    </row>
    <row r="143" spans="1:2" x14ac:dyDescent="0.25">
      <c r="A143" t="s">
        <v>1167</v>
      </c>
      <c r="B143" t="s">
        <v>1168</v>
      </c>
    </row>
    <row r="144" spans="1:2" x14ac:dyDescent="0.25">
      <c r="A144" t="s">
        <v>1169</v>
      </c>
      <c r="B144" t="s">
        <v>1170</v>
      </c>
    </row>
    <row r="145" spans="1:2" x14ac:dyDescent="0.25">
      <c r="A145" t="s">
        <v>1171</v>
      </c>
      <c r="B145" t="s">
        <v>1172</v>
      </c>
    </row>
    <row r="146" spans="1:2" x14ac:dyDescent="0.25">
      <c r="A146" t="s">
        <v>1173</v>
      </c>
      <c r="B146" t="s">
        <v>1174</v>
      </c>
    </row>
    <row r="147" spans="1:2" x14ac:dyDescent="0.25">
      <c r="A147" t="s">
        <v>1175</v>
      </c>
      <c r="B147" t="s">
        <v>1176</v>
      </c>
    </row>
    <row r="148" spans="1:2" x14ac:dyDescent="0.25">
      <c r="A148" t="s">
        <v>1177</v>
      </c>
      <c r="B148" t="s">
        <v>1178</v>
      </c>
    </row>
    <row r="149" spans="1:2" x14ac:dyDescent="0.25">
      <c r="A149" t="s">
        <v>1179</v>
      </c>
      <c r="B149" t="s">
        <v>1180</v>
      </c>
    </row>
    <row r="150" spans="1:2" x14ac:dyDescent="0.25">
      <c r="A150" t="s">
        <v>1181</v>
      </c>
      <c r="B150" t="s">
        <v>1182</v>
      </c>
    </row>
    <row r="151" spans="1:2" x14ac:dyDescent="0.25">
      <c r="A151" t="s">
        <v>1183</v>
      </c>
      <c r="B151" t="s">
        <v>1184</v>
      </c>
    </row>
    <row r="152" spans="1:2" x14ac:dyDescent="0.25">
      <c r="A152" t="s">
        <v>1185</v>
      </c>
      <c r="B152" t="s">
        <v>1186</v>
      </c>
    </row>
    <row r="153" spans="1:2" x14ac:dyDescent="0.25">
      <c r="A153" t="s">
        <v>1187</v>
      </c>
      <c r="B153" t="s">
        <v>1188</v>
      </c>
    </row>
    <row r="154" spans="1:2" x14ac:dyDescent="0.25">
      <c r="A154" t="s">
        <v>1189</v>
      </c>
      <c r="B154" t="s">
        <v>1190</v>
      </c>
    </row>
    <row r="155" spans="1:2" x14ac:dyDescent="0.25">
      <c r="A155" t="s">
        <v>1191</v>
      </c>
      <c r="B155" t="s">
        <v>1192</v>
      </c>
    </row>
    <row r="156" spans="1:2" x14ac:dyDescent="0.25">
      <c r="A156" t="s">
        <v>1193</v>
      </c>
      <c r="B156" t="s">
        <v>1194</v>
      </c>
    </row>
    <row r="157" spans="1:2" x14ac:dyDescent="0.25">
      <c r="A157" t="s">
        <v>1195</v>
      </c>
      <c r="B157" t="s">
        <v>1196</v>
      </c>
    </row>
    <row r="158" spans="1:2" x14ac:dyDescent="0.25">
      <c r="A158" t="s">
        <v>1197</v>
      </c>
      <c r="B158" t="s">
        <v>1198</v>
      </c>
    </row>
    <row r="159" spans="1:2" x14ac:dyDescent="0.25">
      <c r="A159" t="s">
        <v>1199</v>
      </c>
      <c r="B159" t="s">
        <v>1200</v>
      </c>
    </row>
    <row r="160" spans="1:2" x14ac:dyDescent="0.25">
      <c r="A160" t="s">
        <v>1201</v>
      </c>
      <c r="B160" t="s">
        <v>1202</v>
      </c>
    </row>
    <row r="161" spans="1:2" x14ac:dyDescent="0.25">
      <c r="A161" t="s">
        <v>1203</v>
      </c>
      <c r="B161" t="s">
        <v>1204</v>
      </c>
    </row>
    <row r="162" spans="1:2" x14ac:dyDescent="0.25">
      <c r="A162" t="s">
        <v>1205</v>
      </c>
      <c r="B162" t="s">
        <v>1206</v>
      </c>
    </row>
    <row r="163" spans="1:2" x14ac:dyDescent="0.25">
      <c r="A163" t="s">
        <v>1207</v>
      </c>
      <c r="B163" t="s">
        <v>1208</v>
      </c>
    </row>
    <row r="164" spans="1:2" x14ac:dyDescent="0.25">
      <c r="A164" t="s">
        <v>1209</v>
      </c>
      <c r="B164" t="s">
        <v>1210</v>
      </c>
    </row>
    <row r="165" spans="1:2" x14ac:dyDescent="0.25">
      <c r="A165" t="s">
        <v>1211</v>
      </c>
      <c r="B165" t="s">
        <v>1212</v>
      </c>
    </row>
    <row r="166" spans="1:2" x14ac:dyDescent="0.25">
      <c r="A166" t="s">
        <v>1213</v>
      </c>
      <c r="B166" t="s">
        <v>1214</v>
      </c>
    </row>
    <row r="167" spans="1:2" x14ac:dyDescent="0.25">
      <c r="A167" t="s">
        <v>1215</v>
      </c>
      <c r="B167" t="s">
        <v>1216</v>
      </c>
    </row>
    <row r="168" spans="1:2" x14ac:dyDescent="0.25">
      <c r="A168" t="s">
        <v>1217</v>
      </c>
      <c r="B168" t="s">
        <v>1218</v>
      </c>
    </row>
    <row r="169" spans="1:2" x14ac:dyDescent="0.25">
      <c r="A169" t="s">
        <v>1219</v>
      </c>
      <c r="B169" t="s">
        <v>1220</v>
      </c>
    </row>
    <row r="170" spans="1:2" x14ac:dyDescent="0.25">
      <c r="A170" t="s">
        <v>1221</v>
      </c>
      <c r="B170" t="s">
        <v>1222</v>
      </c>
    </row>
    <row r="171" spans="1:2" x14ac:dyDescent="0.25">
      <c r="A171" t="s">
        <v>1223</v>
      </c>
      <c r="B171" t="s">
        <v>1224</v>
      </c>
    </row>
    <row r="172" spans="1:2" x14ac:dyDescent="0.25">
      <c r="A172" t="s">
        <v>1225</v>
      </c>
      <c r="B172" t="s">
        <v>1226</v>
      </c>
    </row>
    <row r="173" spans="1:2" x14ac:dyDescent="0.25">
      <c r="A173" t="s">
        <v>1227</v>
      </c>
      <c r="B173" t="s">
        <v>1228</v>
      </c>
    </row>
    <row r="174" spans="1:2" x14ac:dyDescent="0.25">
      <c r="A174" t="s">
        <v>1229</v>
      </c>
      <c r="B174" t="s">
        <v>1230</v>
      </c>
    </row>
    <row r="175" spans="1:2" x14ac:dyDescent="0.25">
      <c r="A175" t="s">
        <v>1231</v>
      </c>
      <c r="B175" t="s">
        <v>1232</v>
      </c>
    </row>
    <row r="176" spans="1:2" x14ac:dyDescent="0.25">
      <c r="A176" t="s">
        <v>1233</v>
      </c>
      <c r="B176" t="s">
        <v>1234</v>
      </c>
    </row>
    <row r="177" spans="1:2" x14ac:dyDescent="0.25">
      <c r="A177" t="s">
        <v>1235</v>
      </c>
      <c r="B177" t="s">
        <v>1236</v>
      </c>
    </row>
    <row r="178" spans="1:2" x14ac:dyDescent="0.25">
      <c r="A178" t="s">
        <v>1237</v>
      </c>
      <c r="B178" t="s">
        <v>1238</v>
      </c>
    </row>
    <row r="179" spans="1:2" x14ac:dyDescent="0.25">
      <c r="A179" t="s">
        <v>1239</v>
      </c>
      <c r="B179" t="s">
        <v>1240</v>
      </c>
    </row>
    <row r="180" spans="1:2" x14ac:dyDescent="0.25">
      <c r="A180" t="s">
        <v>1241</v>
      </c>
      <c r="B180" t="s">
        <v>1242</v>
      </c>
    </row>
    <row r="181" spans="1:2" x14ac:dyDescent="0.25">
      <c r="A181" t="s">
        <v>1243</v>
      </c>
      <c r="B181" t="s">
        <v>1244</v>
      </c>
    </row>
    <row r="182" spans="1:2" x14ac:dyDescent="0.25">
      <c r="A182" t="s">
        <v>1245</v>
      </c>
      <c r="B182" t="s">
        <v>1246</v>
      </c>
    </row>
    <row r="183" spans="1:2" x14ac:dyDescent="0.25">
      <c r="A183" t="s">
        <v>1247</v>
      </c>
      <c r="B183" t="s">
        <v>1248</v>
      </c>
    </row>
    <row r="184" spans="1:2" x14ac:dyDescent="0.25">
      <c r="A184" t="s">
        <v>1249</v>
      </c>
      <c r="B184" t="s">
        <v>1250</v>
      </c>
    </row>
    <row r="185" spans="1:2" x14ac:dyDescent="0.25">
      <c r="A185" t="s">
        <v>1251</v>
      </c>
      <c r="B185" t="s">
        <v>1252</v>
      </c>
    </row>
    <row r="186" spans="1:2" x14ac:dyDescent="0.25">
      <c r="A186" t="s">
        <v>1253</v>
      </c>
      <c r="B186" t="s">
        <v>1254</v>
      </c>
    </row>
    <row r="187" spans="1:2" x14ac:dyDescent="0.25">
      <c r="A187" t="s">
        <v>1255</v>
      </c>
      <c r="B187" t="s">
        <v>1256</v>
      </c>
    </row>
    <row r="188" spans="1:2" x14ac:dyDescent="0.25">
      <c r="A188" t="s">
        <v>1257</v>
      </c>
      <c r="B188" t="s">
        <v>1258</v>
      </c>
    </row>
    <row r="189" spans="1:2" x14ac:dyDescent="0.25">
      <c r="A189" t="s">
        <v>1259</v>
      </c>
      <c r="B189" t="s">
        <v>1260</v>
      </c>
    </row>
    <row r="190" spans="1:2" x14ac:dyDescent="0.25">
      <c r="A190" t="s">
        <v>1261</v>
      </c>
      <c r="B190" t="s">
        <v>1262</v>
      </c>
    </row>
    <row r="191" spans="1:2" x14ac:dyDescent="0.25">
      <c r="A191" t="s">
        <v>1263</v>
      </c>
      <c r="B191" t="s">
        <v>1264</v>
      </c>
    </row>
    <row r="192" spans="1:2" x14ac:dyDescent="0.25">
      <c r="A192" t="s">
        <v>1265</v>
      </c>
      <c r="B192" t="s">
        <v>1266</v>
      </c>
    </row>
    <row r="193" spans="1:2" x14ac:dyDescent="0.25">
      <c r="A193" t="s">
        <v>1267</v>
      </c>
      <c r="B193" t="s">
        <v>1268</v>
      </c>
    </row>
    <row r="194" spans="1:2" x14ac:dyDescent="0.25">
      <c r="A194" t="s">
        <v>1269</v>
      </c>
      <c r="B194" t="s">
        <v>1270</v>
      </c>
    </row>
    <row r="195" spans="1:2" x14ac:dyDescent="0.25">
      <c r="A195" t="s">
        <v>1271</v>
      </c>
      <c r="B195" t="s">
        <v>1272</v>
      </c>
    </row>
    <row r="196" spans="1:2" x14ac:dyDescent="0.25">
      <c r="A196" t="s">
        <v>1273</v>
      </c>
      <c r="B196" t="s">
        <v>1274</v>
      </c>
    </row>
    <row r="197" spans="1:2" x14ac:dyDescent="0.25">
      <c r="A197" t="s">
        <v>1275</v>
      </c>
      <c r="B197" t="s">
        <v>1276</v>
      </c>
    </row>
    <row r="198" spans="1:2" x14ac:dyDescent="0.25">
      <c r="A198" t="s">
        <v>1277</v>
      </c>
      <c r="B198" t="s">
        <v>1278</v>
      </c>
    </row>
    <row r="199" spans="1:2" x14ac:dyDescent="0.25">
      <c r="A199" t="s">
        <v>1279</v>
      </c>
      <c r="B199" t="s">
        <v>1280</v>
      </c>
    </row>
    <row r="200" spans="1:2" x14ac:dyDescent="0.25">
      <c r="A200" t="s">
        <v>1281</v>
      </c>
      <c r="B200" t="s">
        <v>1282</v>
      </c>
    </row>
    <row r="201" spans="1:2" x14ac:dyDescent="0.25">
      <c r="A201" t="s">
        <v>1283</v>
      </c>
      <c r="B201" t="s">
        <v>1284</v>
      </c>
    </row>
    <row r="202" spans="1:2" x14ac:dyDescent="0.25">
      <c r="A202" t="s">
        <v>1285</v>
      </c>
      <c r="B202" t="s">
        <v>1286</v>
      </c>
    </row>
    <row r="203" spans="1:2" x14ac:dyDescent="0.25">
      <c r="A203" t="s">
        <v>1287</v>
      </c>
      <c r="B203" t="s">
        <v>1288</v>
      </c>
    </row>
    <row r="204" spans="1:2" x14ac:dyDescent="0.25">
      <c r="A204" t="s">
        <v>1289</v>
      </c>
      <c r="B204" t="s">
        <v>1290</v>
      </c>
    </row>
    <row r="205" spans="1:2" x14ac:dyDescent="0.25">
      <c r="A205" t="s">
        <v>1291</v>
      </c>
      <c r="B205" t="s">
        <v>1292</v>
      </c>
    </row>
    <row r="206" spans="1:2" x14ac:dyDescent="0.25">
      <c r="A206" t="s">
        <v>1293</v>
      </c>
      <c r="B206" t="s">
        <v>1294</v>
      </c>
    </row>
    <row r="207" spans="1:2" x14ac:dyDescent="0.25">
      <c r="A207" t="s">
        <v>1295</v>
      </c>
      <c r="B207" t="s">
        <v>1296</v>
      </c>
    </row>
    <row r="208" spans="1:2" x14ac:dyDescent="0.25">
      <c r="A208" t="s">
        <v>1297</v>
      </c>
      <c r="B208" t="s">
        <v>1298</v>
      </c>
    </row>
    <row r="209" spans="1:2" x14ac:dyDescent="0.25">
      <c r="A209" t="s">
        <v>1299</v>
      </c>
      <c r="B209" t="s">
        <v>1300</v>
      </c>
    </row>
    <row r="210" spans="1:2" x14ac:dyDescent="0.25">
      <c r="A210" t="s">
        <v>1301</v>
      </c>
      <c r="B210" t="s">
        <v>1302</v>
      </c>
    </row>
    <row r="211" spans="1:2" x14ac:dyDescent="0.25">
      <c r="A211" t="s">
        <v>1303</v>
      </c>
      <c r="B211" t="s">
        <v>1304</v>
      </c>
    </row>
    <row r="212" spans="1:2" x14ac:dyDescent="0.25">
      <c r="A212" t="s">
        <v>1305</v>
      </c>
      <c r="B212" t="s">
        <v>1306</v>
      </c>
    </row>
    <row r="213" spans="1:2" x14ac:dyDescent="0.25">
      <c r="A213" t="s">
        <v>1307</v>
      </c>
      <c r="B213" t="s">
        <v>1308</v>
      </c>
    </row>
    <row r="214" spans="1:2" x14ac:dyDescent="0.25">
      <c r="A214" t="s">
        <v>1309</v>
      </c>
      <c r="B214" t="s">
        <v>1310</v>
      </c>
    </row>
    <row r="215" spans="1:2" x14ac:dyDescent="0.25">
      <c r="A215" t="s">
        <v>1311</v>
      </c>
      <c r="B215" t="s">
        <v>1312</v>
      </c>
    </row>
    <row r="216" spans="1:2" x14ac:dyDescent="0.25">
      <c r="A216" t="s">
        <v>1313</v>
      </c>
      <c r="B216" t="s">
        <v>1314</v>
      </c>
    </row>
    <row r="217" spans="1:2" x14ac:dyDescent="0.25">
      <c r="A217" t="s">
        <v>1315</v>
      </c>
      <c r="B217" t="s">
        <v>1280</v>
      </c>
    </row>
    <row r="218" spans="1:2" x14ac:dyDescent="0.25">
      <c r="A218" t="s">
        <v>1316</v>
      </c>
      <c r="B218" t="s">
        <v>1317</v>
      </c>
    </row>
    <row r="219" spans="1:2" x14ac:dyDescent="0.25">
      <c r="A219" t="s">
        <v>1318</v>
      </c>
      <c r="B219" t="s">
        <v>1319</v>
      </c>
    </row>
    <row r="220" spans="1:2" x14ac:dyDescent="0.25">
      <c r="A220" t="s">
        <v>1320</v>
      </c>
      <c r="B220" t="s">
        <v>1321</v>
      </c>
    </row>
    <row r="221" spans="1:2" x14ac:dyDescent="0.25">
      <c r="A221" t="s">
        <v>1322</v>
      </c>
      <c r="B221" t="s">
        <v>1323</v>
      </c>
    </row>
    <row r="222" spans="1:2" x14ac:dyDescent="0.25">
      <c r="A222" t="s">
        <v>1324</v>
      </c>
      <c r="B222" t="s">
        <v>1325</v>
      </c>
    </row>
    <row r="223" spans="1:2" x14ac:dyDescent="0.25">
      <c r="A223" t="s">
        <v>1326</v>
      </c>
      <c r="B223" t="s">
        <v>1327</v>
      </c>
    </row>
    <row r="224" spans="1:2" x14ac:dyDescent="0.25">
      <c r="A224" t="s">
        <v>1328</v>
      </c>
      <c r="B224" t="s">
        <v>1329</v>
      </c>
    </row>
    <row r="225" spans="1:2" x14ac:dyDescent="0.25">
      <c r="A225" t="s">
        <v>1330</v>
      </c>
      <c r="B225" t="s">
        <v>1331</v>
      </c>
    </row>
    <row r="226" spans="1:2" x14ac:dyDescent="0.25">
      <c r="A226" t="s">
        <v>1332</v>
      </c>
      <c r="B226" t="s">
        <v>1333</v>
      </c>
    </row>
    <row r="227" spans="1:2" x14ac:dyDescent="0.25">
      <c r="A227" t="s">
        <v>1334</v>
      </c>
      <c r="B227" t="s">
        <v>1335</v>
      </c>
    </row>
    <row r="228" spans="1:2" x14ac:dyDescent="0.25">
      <c r="A228" t="s">
        <v>1336</v>
      </c>
      <c r="B228" t="s">
        <v>1337</v>
      </c>
    </row>
    <row r="229" spans="1:2" x14ac:dyDescent="0.25">
      <c r="A229" t="s">
        <v>1338</v>
      </c>
      <c r="B229" t="s">
        <v>1339</v>
      </c>
    </row>
    <row r="230" spans="1:2" x14ac:dyDescent="0.25">
      <c r="A230" t="s">
        <v>1340</v>
      </c>
      <c r="B230" t="s">
        <v>1341</v>
      </c>
    </row>
    <row r="231" spans="1:2" x14ac:dyDescent="0.25">
      <c r="A231" t="s">
        <v>1342</v>
      </c>
      <c r="B231" t="s">
        <v>1343</v>
      </c>
    </row>
    <row r="232" spans="1:2" x14ac:dyDescent="0.25">
      <c r="A232" t="s">
        <v>1344</v>
      </c>
      <c r="B232" t="s">
        <v>1345</v>
      </c>
    </row>
    <row r="233" spans="1:2" x14ac:dyDescent="0.25">
      <c r="A233" t="s">
        <v>1346</v>
      </c>
      <c r="B233" t="s">
        <v>1347</v>
      </c>
    </row>
    <row r="234" spans="1:2" x14ac:dyDescent="0.25">
      <c r="A234" t="s">
        <v>1348</v>
      </c>
      <c r="B234" t="s">
        <v>1349</v>
      </c>
    </row>
    <row r="235" spans="1:2" x14ac:dyDescent="0.25">
      <c r="A235" t="s">
        <v>1350</v>
      </c>
      <c r="B235" t="s">
        <v>1351</v>
      </c>
    </row>
    <row r="236" spans="1:2" x14ac:dyDescent="0.25">
      <c r="A236" t="s">
        <v>1352</v>
      </c>
      <c r="B236" t="s">
        <v>1353</v>
      </c>
    </row>
    <row r="237" spans="1:2" x14ac:dyDescent="0.25">
      <c r="A237" t="s">
        <v>1354</v>
      </c>
      <c r="B237" t="s">
        <v>1355</v>
      </c>
    </row>
    <row r="238" spans="1:2" x14ac:dyDescent="0.25">
      <c r="A238" t="s">
        <v>1356</v>
      </c>
      <c r="B238" t="s">
        <v>1357</v>
      </c>
    </row>
    <row r="239" spans="1:2" x14ac:dyDescent="0.25">
      <c r="A239" t="s">
        <v>1358</v>
      </c>
      <c r="B239" t="s">
        <v>1359</v>
      </c>
    </row>
    <row r="240" spans="1:2" x14ac:dyDescent="0.25">
      <c r="A240" t="s">
        <v>1360</v>
      </c>
      <c r="B240" t="s">
        <v>1361</v>
      </c>
    </row>
    <row r="241" spans="1:2" x14ac:dyDescent="0.25">
      <c r="A241" t="s">
        <v>1362</v>
      </c>
      <c r="B241" t="s">
        <v>1363</v>
      </c>
    </row>
    <row r="242" spans="1:2" x14ac:dyDescent="0.25">
      <c r="A242" t="s">
        <v>1364</v>
      </c>
      <c r="B242" t="s">
        <v>1365</v>
      </c>
    </row>
    <row r="243" spans="1:2" x14ac:dyDescent="0.25">
      <c r="A243" t="s">
        <v>1366</v>
      </c>
      <c r="B243" t="s">
        <v>1367</v>
      </c>
    </row>
    <row r="244" spans="1:2" x14ac:dyDescent="0.25">
      <c r="A244" t="s">
        <v>1368</v>
      </c>
      <c r="B244" t="s">
        <v>1369</v>
      </c>
    </row>
    <row r="245" spans="1:2" x14ac:dyDescent="0.25">
      <c r="A245" t="s">
        <v>1370</v>
      </c>
      <c r="B245" t="s">
        <v>1371</v>
      </c>
    </row>
    <row r="246" spans="1:2" x14ac:dyDescent="0.25">
      <c r="A246" t="s">
        <v>1372</v>
      </c>
      <c r="B246" t="s">
        <v>1373</v>
      </c>
    </row>
    <row r="247" spans="1:2" x14ac:dyDescent="0.25">
      <c r="A247" t="s">
        <v>1374</v>
      </c>
      <c r="B247" t="s">
        <v>1375</v>
      </c>
    </row>
    <row r="248" spans="1:2" x14ac:dyDescent="0.25">
      <c r="A248" t="s">
        <v>1376</v>
      </c>
      <c r="B248" t="s">
        <v>1377</v>
      </c>
    </row>
    <row r="249" spans="1:2" x14ac:dyDescent="0.25">
      <c r="A249" t="s">
        <v>1378</v>
      </c>
      <c r="B249" t="s">
        <v>1379</v>
      </c>
    </row>
    <row r="250" spans="1:2" x14ac:dyDescent="0.25">
      <c r="A250" t="s">
        <v>1380</v>
      </c>
      <c r="B250" t="s">
        <v>1381</v>
      </c>
    </row>
    <row r="251" spans="1:2" x14ac:dyDescent="0.25">
      <c r="A251" t="s">
        <v>1382</v>
      </c>
      <c r="B251" t="s">
        <v>1383</v>
      </c>
    </row>
    <row r="252" spans="1:2" x14ac:dyDescent="0.25">
      <c r="A252" t="s">
        <v>1384</v>
      </c>
      <c r="B252" t="s">
        <v>1385</v>
      </c>
    </row>
    <row r="253" spans="1:2" x14ac:dyDescent="0.25">
      <c r="A253" t="s">
        <v>1386</v>
      </c>
      <c r="B253" t="s">
        <v>1387</v>
      </c>
    </row>
    <row r="254" spans="1:2" x14ac:dyDescent="0.25">
      <c r="A254" t="s">
        <v>1388</v>
      </c>
      <c r="B254" t="s">
        <v>1389</v>
      </c>
    </row>
    <row r="255" spans="1:2" x14ac:dyDescent="0.25">
      <c r="A255" t="s">
        <v>1390</v>
      </c>
      <c r="B255" t="s">
        <v>1391</v>
      </c>
    </row>
    <row r="256" spans="1:2" x14ac:dyDescent="0.25">
      <c r="A256" t="s">
        <v>1392</v>
      </c>
      <c r="B256" t="s">
        <v>1393</v>
      </c>
    </row>
    <row r="257" spans="1:2" x14ac:dyDescent="0.25">
      <c r="A257" t="s">
        <v>1394</v>
      </c>
      <c r="B257" t="s">
        <v>1395</v>
      </c>
    </row>
    <row r="258" spans="1:2" x14ac:dyDescent="0.25">
      <c r="A258" t="s">
        <v>1396</v>
      </c>
      <c r="B258" t="s">
        <v>1397</v>
      </c>
    </row>
    <row r="259" spans="1:2" x14ac:dyDescent="0.25">
      <c r="A259" t="s">
        <v>1398</v>
      </c>
      <c r="B259" t="s">
        <v>1399</v>
      </c>
    </row>
    <row r="260" spans="1:2" x14ac:dyDescent="0.25">
      <c r="A260" t="s">
        <v>1400</v>
      </c>
      <c r="B260" t="s">
        <v>1401</v>
      </c>
    </row>
    <row r="261" spans="1:2" x14ac:dyDescent="0.25">
      <c r="A261" t="s">
        <v>1402</v>
      </c>
      <c r="B261" t="s">
        <v>1403</v>
      </c>
    </row>
    <row r="262" spans="1:2" x14ac:dyDescent="0.25">
      <c r="A262" t="s">
        <v>1404</v>
      </c>
      <c r="B262" t="s">
        <v>1405</v>
      </c>
    </row>
    <row r="263" spans="1:2" x14ac:dyDescent="0.25">
      <c r="A263" t="s">
        <v>1406</v>
      </c>
      <c r="B263" t="s">
        <v>1407</v>
      </c>
    </row>
    <row r="264" spans="1:2" x14ac:dyDescent="0.25">
      <c r="A264" t="s">
        <v>1408</v>
      </c>
      <c r="B264" t="s">
        <v>1409</v>
      </c>
    </row>
    <row r="265" spans="1:2" x14ac:dyDescent="0.25">
      <c r="A265" t="s">
        <v>1410</v>
      </c>
      <c r="B265" t="s">
        <v>1411</v>
      </c>
    </row>
    <row r="266" spans="1:2" x14ac:dyDescent="0.25">
      <c r="A266" t="s">
        <v>1412</v>
      </c>
      <c r="B266" t="s">
        <v>1413</v>
      </c>
    </row>
    <row r="267" spans="1:2" x14ac:dyDescent="0.25">
      <c r="A267" t="s">
        <v>1414</v>
      </c>
      <c r="B267" t="s">
        <v>1415</v>
      </c>
    </row>
    <row r="268" spans="1:2" x14ac:dyDescent="0.25">
      <c r="A268" t="s">
        <v>1416</v>
      </c>
      <c r="B268" t="s">
        <v>1417</v>
      </c>
    </row>
    <row r="269" spans="1:2" x14ac:dyDescent="0.25">
      <c r="A269" t="s">
        <v>1418</v>
      </c>
      <c r="B269" t="s">
        <v>1419</v>
      </c>
    </row>
    <row r="270" spans="1:2" x14ac:dyDescent="0.25">
      <c r="A270" t="s">
        <v>1420</v>
      </c>
      <c r="B270" t="s">
        <v>1421</v>
      </c>
    </row>
    <row r="271" spans="1:2" x14ac:dyDescent="0.25">
      <c r="A271" t="s">
        <v>1422</v>
      </c>
      <c r="B271" t="s">
        <v>1423</v>
      </c>
    </row>
    <row r="272" spans="1:2" x14ac:dyDescent="0.25">
      <c r="A272" t="s">
        <v>1424</v>
      </c>
      <c r="B272" t="s">
        <v>1425</v>
      </c>
    </row>
    <row r="273" spans="1:2" x14ac:dyDescent="0.25">
      <c r="A273" t="s">
        <v>1426</v>
      </c>
      <c r="B273" t="s">
        <v>1427</v>
      </c>
    </row>
    <row r="274" spans="1:2" x14ac:dyDescent="0.25">
      <c r="A274" t="s">
        <v>1428</v>
      </c>
      <c r="B274" t="s">
        <v>1429</v>
      </c>
    </row>
    <row r="275" spans="1:2" x14ac:dyDescent="0.25">
      <c r="A275" t="s">
        <v>1430</v>
      </c>
      <c r="B275" t="s">
        <v>1431</v>
      </c>
    </row>
    <row r="276" spans="1:2" x14ac:dyDescent="0.25">
      <c r="A276" t="s">
        <v>1432</v>
      </c>
      <c r="B276" t="s">
        <v>1433</v>
      </c>
    </row>
    <row r="277" spans="1:2" x14ac:dyDescent="0.25">
      <c r="A277" t="s">
        <v>1434</v>
      </c>
      <c r="B277" t="s">
        <v>1435</v>
      </c>
    </row>
    <row r="278" spans="1:2" x14ac:dyDescent="0.25">
      <c r="A278" t="s">
        <v>1436</v>
      </c>
      <c r="B278" t="s">
        <v>1437</v>
      </c>
    </row>
    <row r="279" spans="1:2" x14ac:dyDescent="0.25">
      <c r="A279" t="s">
        <v>1438</v>
      </c>
      <c r="B279" t="s">
        <v>1439</v>
      </c>
    </row>
    <row r="280" spans="1:2" x14ac:dyDescent="0.25">
      <c r="A280" t="s">
        <v>1440</v>
      </c>
      <c r="B280" t="s">
        <v>1441</v>
      </c>
    </row>
    <row r="281" spans="1:2" x14ac:dyDescent="0.25">
      <c r="A281" t="s">
        <v>1442</v>
      </c>
      <c r="B281" t="s">
        <v>1443</v>
      </c>
    </row>
    <row r="282" spans="1:2" x14ac:dyDescent="0.25">
      <c r="A282" t="s">
        <v>1444</v>
      </c>
      <c r="B282" t="s">
        <v>1445</v>
      </c>
    </row>
    <row r="283" spans="1:2" x14ac:dyDescent="0.25">
      <c r="A283" t="s">
        <v>1446</v>
      </c>
      <c r="B283" t="s">
        <v>1447</v>
      </c>
    </row>
    <row r="284" spans="1:2" x14ac:dyDescent="0.25">
      <c r="A284" t="s">
        <v>1448</v>
      </c>
      <c r="B284" t="s">
        <v>1449</v>
      </c>
    </row>
    <row r="285" spans="1:2" x14ac:dyDescent="0.25">
      <c r="A285" t="s">
        <v>1450</v>
      </c>
      <c r="B285" t="s">
        <v>1451</v>
      </c>
    </row>
    <row r="286" spans="1:2" x14ac:dyDescent="0.25">
      <c r="A286" t="s">
        <v>1452</v>
      </c>
      <c r="B286" t="s">
        <v>1397</v>
      </c>
    </row>
    <row r="287" spans="1:2" x14ac:dyDescent="0.25">
      <c r="A287" t="s">
        <v>1453</v>
      </c>
      <c r="B287" t="s">
        <v>1454</v>
      </c>
    </row>
    <row r="288" spans="1:2" x14ac:dyDescent="0.25">
      <c r="A288" t="s">
        <v>1455</v>
      </c>
      <c r="B288" t="s">
        <v>1456</v>
      </c>
    </row>
    <row r="289" spans="1:2" x14ac:dyDescent="0.25">
      <c r="A289" t="s">
        <v>1457</v>
      </c>
      <c r="B289" t="s">
        <v>1458</v>
      </c>
    </row>
    <row r="290" spans="1:2" x14ac:dyDescent="0.25">
      <c r="A290" t="s">
        <v>1459</v>
      </c>
      <c r="B290" t="s">
        <v>1460</v>
      </c>
    </row>
    <row r="291" spans="1:2" x14ac:dyDescent="0.25">
      <c r="A291" t="s">
        <v>1461</v>
      </c>
      <c r="B291" t="s">
        <v>1462</v>
      </c>
    </row>
    <row r="292" spans="1:2" x14ac:dyDescent="0.25">
      <c r="A292" t="s">
        <v>1463</v>
      </c>
      <c r="B292" t="s">
        <v>1464</v>
      </c>
    </row>
    <row r="293" spans="1:2" x14ac:dyDescent="0.25">
      <c r="A293" t="s">
        <v>1465</v>
      </c>
      <c r="B293" t="s">
        <v>1466</v>
      </c>
    </row>
    <row r="294" spans="1:2" x14ac:dyDescent="0.25">
      <c r="A294" t="s">
        <v>1467</v>
      </c>
      <c r="B294" t="s">
        <v>1468</v>
      </c>
    </row>
    <row r="295" spans="1:2" x14ac:dyDescent="0.25">
      <c r="A295" t="s">
        <v>1469</v>
      </c>
      <c r="B295" t="s">
        <v>1470</v>
      </c>
    </row>
    <row r="296" spans="1:2" x14ac:dyDescent="0.25">
      <c r="A296" t="s">
        <v>1471</v>
      </c>
      <c r="B296" t="s">
        <v>1472</v>
      </c>
    </row>
    <row r="297" spans="1:2" x14ac:dyDescent="0.25">
      <c r="A297" t="s">
        <v>1473</v>
      </c>
      <c r="B297" t="s">
        <v>1474</v>
      </c>
    </row>
    <row r="298" spans="1:2" x14ac:dyDescent="0.25">
      <c r="A298" t="s">
        <v>1475</v>
      </c>
      <c r="B298" t="s">
        <v>1476</v>
      </c>
    </row>
    <row r="299" spans="1:2" x14ac:dyDescent="0.25">
      <c r="A299" t="s">
        <v>1477</v>
      </c>
      <c r="B299" t="s">
        <v>1478</v>
      </c>
    </row>
    <row r="300" spans="1:2" x14ac:dyDescent="0.25">
      <c r="A300" t="s">
        <v>1479</v>
      </c>
      <c r="B300" t="s">
        <v>1480</v>
      </c>
    </row>
    <row r="301" spans="1:2" x14ac:dyDescent="0.25">
      <c r="A301" t="s">
        <v>1481</v>
      </c>
      <c r="B301" t="s">
        <v>1482</v>
      </c>
    </row>
    <row r="302" spans="1:2" x14ac:dyDescent="0.25">
      <c r="A302" t="s">
        <v>1483</v>
      </c>
      <c r="B302" t="s">
        <v>1484</v>
      </c>
    </row>
    <row r="303" spans="1:2" x14ac:dyDescent="0.25">
      <c r="A303" t="s">
        <v>1485</v>
      </c>
      <c r="B303" t="s">
        <v>1486</v>
      </c>
    </row>
    <row r="304" spans="1:2" x14ac:dyDescent="0.25">
      <c r="A304" t="s">
        <v>1487</v>
      </c>
      <c r="B304" t="s">
        <v>1488</v>
      </c>
    </row>
    <row r="305" spans="1:2" x14ac:dyDescent="0.25">
      <c r="A305" t="s">
        <v>1489</v>
      </c>
      <c r="B305" t="s">
        <v>1490</v>
      </c>
    </row>
    <row r="306" spans="1:2" x14ac:dyDescent="0.25">
      <c r="A306" t="s">
        <v>1491</v>
      </c>
      <c r="B306" t="s">
        <v>1492</v>
      </c>
    </row>
    <row r="307" spans="1:2" x14ac:dyDescent="0.25">
      <c r="A307" t="s">
        <v>1493</v>
      </c>
      <c r="B307" t="s">
        <v>1494</v>
      </c>
    </row>
    <row r="308" spans="1:2" x14ac:dyDescent="0.25">
      <c r="A308" t="s">
        <v>1495</v>
      </c>
      <c r="B308" t="s">
        <v>1496</v>
      </c>
    </row>
    <row r="309" spans="1:2" x14ac:dyDescent="0.25">
      <c r="A309" t="s">
        <v>1497</v>
      </c>
      <c r="B309" t="s">
        <v>1498</v>
      </c>
    </row>
    <row r="310" spans="1:2" x14ac:dyDescent="0.25">
      <c r="A310" t="s">
        <v>1499</v>
      </c>
      <c r="B310" t="s">
        <v>1500</v>
      </c>
    </row>
    <row r="311" spans="1:2" x14ac:dyDescent="0.25">
      <c r="A311" t="s">
        <v>1501</v>
      </c>
      <c r="B311" t="s">
        <v>1502</v>
      </c>
    </row>
    <row r="312" spans="1:2" x14ac:dyDescent="0.25">
      <c r="A312" t="s">
        <v>1503</v>
      </c>
      <c r="B312" t="s">
        <v>1504</v>
      </c>
    </row>
    <row r="313" spans="1:2" x14ac:dyDescent="0.25">
      <c r="A313" t="s">
        <v>1505</v>
      </c>
      <c r="B313" t="s">
        <v>1506</v>
      </c>
    </row>
    <row r="314" spans="1:2" x14ac:dyDescent="0.25">
      <c r="A314" t="s">
        <v>1507</v>
      </c>
      <c r="B314" t="s">
        <v>1508</v>
      </c>
    </row>
    <row r="315" spans="1:2" x14ac:dyDescent="0.25">
      <c r="A315" t="s">
        <v>1509</v>
      </c>
      <c r="B315" t="s">
        <v>1510</v>
      </c>
    </row>
    <row r="316" spans="1:2" x14ac:dyDescent="0.25">
      <c r="A316" t="s">
        <v>1511</v>
      </c>
      <c r="B316" t="s">
        <v>1512</v>
      </c>
    </row>
    <row r="317" spans="1:2" x14ac:dyDescent="0.25">
      <c r="A317" t="s">
        <v>1513</v>
      </c>
      <c r="B317" t="s">
        <v>1514</v>
      </c>
    </row>
    <row r="318" spans="1:2" x14ac:dyDescent="0.25">
      <c r="A318" t="s">
        <v>1515</v>
      </c>
      <c r="B318" t="s">
        <v>1516</v>
      </c>
    </row>
    <row r="319" spans="1:2" x14ac:dyDescent="0.25">
      <c r="A319" t="s">
        <v>1517</v>
      </c>
      <c r="B319" t="s">
        <v>1518</v>
      </c>
    </row>
    <row r="320" spans="1:2" x14ac:dyDescent="0.25">
      <c r="A320" t="s">
        <v>1519</v>
      </c>
      <c r="B320" t="s">
        <v>1520</v>
      </c>
    </row>
    <row r="321" spans="1:2" x14ac:dyDescent="0.25">
      <c r="A321" t="s">
        <v>1521</v>
      </c>
      <c r="B321" t="s">
        <v>1522</v>
      </c>
    </row>
    <row r="322" spans="1:2" x14ac:dyDescent="0.25">
      <c r="A322" t="s">
        <v>1523</v>
      </c>
      <c r="B322" t="s">
        <v>1524</v>
      </c>
    </row>
    <row r="323" spans="1:2" x14ac:dyDescent="0.25">
      <c r="A323" t="s">
        <v>1525</v>
      </c>
      <c r="B323" t="s">
        <v>1526</v>
      </c>
    </row>
    <row r="324" spans="1:2" x14ac:dyDescent="0.25">
      <c r="A324" t="s">
        <v>1527</v>
      </c>
      <c r="B324" t="s">
        <v>1528</v>
      </c>
    </row>
    <row r="325" spans="1:2" x14ac:dyDescent="0.25">
      <c r="A325" t="s">
        <v>1529</v>
      </c>
      <c r="B325" t="s">
        <v>1530</v>
      </c>
    </row>
    <row r="326" spans="1:2" x14ac:dyDescent="0.25">
      <c r="A326" t="s">
        <v>1531</v>
      </c>
      <c r="B326" t="s">
        <v>1532</v>
      </c>
    </row>
    <row r="327" spans="1:2" x14ac:dyDescent="0.25">
      <c r="A327" t="s">
        <v>1533</v>
      </c>
      <c r="B327" t="s">
        <v>1534</v>
      </c>
    </row>
    <row r="328" spans="1:2" x14ac:dyDescent="0.25">
      <c r="A328" t="s">
        <v>1535</v>
      </c>
      <c r="B328" t="s">
        <v>1536</v>
      </c>
    </row>
    <row r="329" spans="1:2" x14ac:dyDescent="0.25">
      <c r="A329" t="s">
        <v>1537</v>
      </c>
      <c r="B329" t="s">
        <v>1538</v>
      </c>
    </row>
    <row r="330" spans="1:2" x14ac:dyDescent="0.25">
      <c r="A330" t="s">
        <v>1539</v>
      </c>
      <c r="B330" t="s">
        <v>1540</v>
      </c>
    </row>
    <row r="331" spans="1:2" x14ac:dyDescent="0.25">
      <c r="A331" t="s">
        <v>1541</v>
      </c>
      <c r="B331" t="s">
        <v>1542</v>
      </c>
    </row>
    <row r="332" spans="1:2" x14ac:dyDescent="0.25">
      <c r="A332" t="s">
        <v>1543</v>
      </c>
      <c r="B332" t="s">
        <v>1544</v>
      </c>
    </row>
    <row r="333" spans="1:2" x14ac:dyDescent="0.25">
      <c r="A333" t="s">
        <v>1545</v>
      </c>
      <c r="B333" t="s">
        <v>1546</v>
      </c>
    </row>
    <row r="334" spans="1:2" x14ac:dyDescent="0.25">
      <c r="A334" t="s">
        <v>1547</v>
      </c>
      <c r="B334" t="s">
        <v>1548</v>
      </c>
    </row>
    <row r="335" spans="1:2" x14ac:dyDescent="0.25">
      <c r="A335" t="s">
        <v>1549</v>
      </c>
      <c r="B335" t="s">
        <v>1550</v>
      </c>
    </row>
    <row r="336" spans="1:2" x14ac:dyDescent="0.25">
      <c r="A336" t="s">
        <v>1551</v>
      </c>
      <c r="B336" t="s">
        <v>1552</v>
      </c>
    </row>
    <row r="337" spans="1:2" x14ac:dyDescent="0.25">
      <c r="A337" t="s">
        <v>1553</v>
      </c>
      <c r="B337" t="s">
        <v>1554</v>
      </c>
    </row>
    <row r="338" spans="1:2" x14ac:dyDescent="0.25">
      <c r="A338" t="s">
        <v>1555</v>
      </c>
      <c r="B338" t="s">
        <v>1556</v>
      </c>
    </row>
    <row r="339" spans="1:2" x14ac:dyDescent="0.25">
      <c r="A339" t="s">
        <v>1557</v>
      </c>
      <c r="B339" t="s">
        <v>1558</v>
      </c>
    </row>
    <row r="340" spans="1:2" x14ac:dyDescent="0.25">
      <c r="A340" t="s">
        <v>1559</v>
      </c>
      <c r="B340" t="s">
        <v>1560</v>
      </c>
    </row>
    <row r="341" spans="1:2" x14ac:dyDescent="0.25">
      <c r="A341" t="s">
        <v>1561</v>
      </c>
      <c r="B341" t="s">
        <v>1562</v>
      </c>
    </row>
    <row r="342" spans="1:2" x14ac:dyDescent="0.25">
      <c r="A342" t="s">
        <v>1563</v>
      </c>
      <c r="B342" t="s">
        <v>1564</v>
      </c>
    </row>
    <row r="343" spans="1:2" x14ac:dyDescent="0.25">
      <c r="A343" t="s">
        <v>1565</v>
      </c>
      <c r="B343" t="s">
        <v>1566</v>
      </c>
    </row>
    <row r="344" spans="1:2" x14ac:dyDescent="0.25">
      <c r="A344" t="s">
        <v>1567</v>
      </c>
      <c r="B344" t="s">
        <v>1568</v>
      </c>
    </row>
    <row r="345" spans="1:2" x14ac:dyDescent="0.25">
      <c r="A345" t="s">
        <v>1569</v>
      </c>
      <c r="B345" t="s">
        <v>1570</v>
      </c>
    </row>
    <row r="346" spans="1:2" x14ac:dyDescent="0.25">
      <c r="A346" t="s">
        <v>1571</v>
      </c>
      <c r="B346" t="s">
        <v>1572</v>
      </c>
    </row>
    <row r="347" spans="1:2" x14ac:dyDescent="0.25">
      <c r="A347" t="s">
        <v>1573</v>
      </c>
      <c r="B347" t="s">
        <v>1574</v>
      </c>
    </row>
    <row r="348" spans="1:2" x14ac:dyDescent="0.25">
      <c r="A348" t="s">
        <v>1575</v>
      </c>
      <c r="B348" t="s">
        <v>1576</v>
      </c>
    </row>
    <row r="349" spans="1:2" x14ac:dyDescent="0.25">
      <c r="A349" t="s">
        <v>1577</v>
      </c>
      <c r="B349" t="s">
        <v>1578</v>
      </c>
    </row>
    <row r="350" spans="1:2" x14ac:dyDescent="0.25">
      <c r="A350" t="s">
        <v>1579</v>
      </c>
      <c r="B350" t="s">
        <v>1580</v>
      </c>
    </row>
    <row r="351" spans="1:2" x14ac:dyDescent="0.25">
      <c r="A351" t="s">
        <v>1581</v>
      </c>
      <c r="B351" t="s">
        <v>1582</v>
      </c>
    </row>
    <row r="352" spans="1:2" x14ac:dyDescent="0.25">
      <c r="A352" t="s">
        <v>1583</v>
      </c>
      <c r="B352" t="s">
        <v>1584</v>
      </c>
    </row>
    <row r="353" spans="1:2" x14ac:dyDescent="0.25">
      <c r="A353" t="s">
        <v>1585</v>
      </c>
      <c r="B353" t="s">
        <v>1586</v>
      </c>
    </row>
    <row r="354" spans="1:2" x14ac:dyDescent="0.25">
      <c r="A354" t="s">
        <v>1587</v>
      </c>
      <c r="B354" t="s">
        <v>1588</v>
      </c>
    </row>
    <row r="355" spans="1:2" x14ac:dyDescent="0.25">
      <c r="A355" t="s">
        <v>1589</v>
      </c>
      <c r="B355" t="s">
        <v>1590</v>
      </c>
    </row>
    <row r="356" spans="1:2" x14ac:dyDescent="0.25">
      <c r="A356" t="s">
        <v>1591</v>
      </c>
      <c r="B356" t="s">
        <v>1592</v>
      </c>
    </row>
    <row r="357" spans="1:2" x14ac:dyDescent="0.25">
      <c r="A357" t="s">
        <v>1593</v>
      </c>
      <c r="B357" t="s">
        <v>1594</v>
      </c>
    </row>
    <row r="358" spans="1:2" x14ac:dyDescent="0.25">
      <c r="A358" t="s">
        <v>1595</v>
      </c>
      <c r="B358" t="s">
        <v>1596</v>
      </c>
    </row>
    <row r="359" spans="1:2" x14ac:dyDescent="0.25">
      <c r="A359" t="s">
        <v>1597</v>
      </c>
      <c r="B359" t="s">
        <v>1598</v>
      </c>
    </row>
    <row r="360" spans="1:2" x14ac:dyDescent="0.25">
      <c r="A360" t="s">
        <v>1599</v>
      </c>
      <c r="B360" t="s">
        <v>1600</v>
      </c>
    </row>
    <row r="361" spans="1:2" x14ac:dyDescent="0.25">
      <c r="A361" t="s">
        <v>1601</v>
      </c>
      <c r="B361" t="s">
        <v>1602</v>
      </c>
    </row>
    <row r="362" spans="1:2" x14ac:dyDescent="0.25">
      <c r="A362" t="s">
        <v>1603</v>
      </c>
      <c r="B362" t="s">
        <v>1604</v>
      </c>
    </row>
    <row r="363" spans="1:2" x14ac:dyDescent="0.25">
      <c r="A363" t="s">
        <v>1605</v>
      </c>
      <c r="B363" t="s">
        <v>1606</v>
      </c>
    </row>
    <row r="364" spans="1:2" x14ac:dyDescent="0.25">
      <c r="A364" t="s">
        <v>1607</v>
      </c>
      <c r="B364" t="s">
        <v>1608</v>
      </c>
    </row>
    <row r="365" spans="1:2" x14ac:dyDescent="0.25">
      <c r="A365" t="s">
        <v>1609</v>
      </c>
      <c r="B365" t="s">
        <v>1610</v>
      </c>
    </row>
    <row r="366" spans="1:2" x14ac:dyDescent="0.25">
      <c r="A366" t="s">
        <v>1611</v>
      </c>
      <c r="B366" t="s">
        <v>1612</v>
      </c>
    </row>
    <row r="367" spans="1:2" x14ac:dyDescent="0.25">
      <c r="A367" t="s">
        <v>1613</v>
      </c>
      <c r="B367" t="s">
        <v>1614</v>
      </c>
    </row>
    <row r="368" spans="1:2" x14ac:dyDescent="0.25">
      <c r="A368" t="s">
        <v>1615</v>
      </c>
      <c r="B368" t="s">
        <v>1616</v>
      </c>
    </row>
    <row r="369" spans="1:2" x14ac:dyDescent="0.25">
      <c r="A369" t="s">
        <v>1617</v>
      </c>
      <c r="B369" t="s">
        <v>1618</v>
      </c>
    </row>
    <row r="370" spans="1:2" x14ac:dyDescent="0.25">
      <c r="A370" t="s">
        <v>1619</v>
      </c>
      <c r="B370" t="s">
        <v>1620</v>
      </c>
    </row>
    <row r="371" spans="1:2" x14ac:dyDescent="0.25">
      <c r="A371" t="s">
        <v>1621</v>
      </c>
      <c r="B371" t="s">
        <v>1622</v>
      </c>
    </row>
    <row r="372" spans="1:2" x14ac:dyDescent="0.25">
      <c r="A372" t="s">
        <v>1623</v>
      </c>
      <c r="B372" t="s">
        <v>1624</v>
      </c>
    </row>
    <row r="373" spans="1:2" x14ac:dyDescent="0.25">
      <c r="A373" t="s">
        <v>1625</v>
      </c>
      <c r="B373" t="s">
        <v>1626</v>
      </c>
    </row>
    <row r="374" spans="1:2" x14ac:dyDescent="0.25">
      <c r="A374" t="s">
        <v>1627</v>
      </c>
      <c r="B374" t="s">
        <v>1628</v>
      </c>
    </row>
    <row r="375" spans="1:2" x14ac:dyDescent="0.25">
      <c r="A375" t="s">
        <v>1629</v>
      </c>
      <c r="B375" t="s">
        <v>1630</v>
      </c>
    </row>
    <row r="376" spans="1:2" x14ac:dyDescent="0.25">
      <c r="A376" t="s">
        <v>1631</v>
      </c>
      <c r="B376" t="s">
        <v>1632</v>
      </c>
    </row>
    <row r="377" spans="1:2" x14ac:dyDescent="0.25">
      <c r="A377" t="s">
        <v>1633</v>
      </c>
      <c r="B377" t="s">
        <v>1634</v>
      </c>
    </row>
    <row r="378" spans="1:2" x14ac:dyDescent="0.25">
      <c r="A378" t="s">
        <v>1635</v>
      </c>
      <c r="B378" t="s">
        <v>1636</v>
      </c>
    </row>
    <row r="379" spans="1:2" x14ac:dyDescent="0.25">
      <c r="A379" t="s">
        <v>1637</v>
      </c>
      <c r="B379" t="s">
        <v>1638</v>
      </c>
    </row>
    <row r="380" spans="1:2" x14ac:dyDescent="0.25">
      <c r="A380" t="s">
        <v>1639</v>
      </c>
      <c r="B380" t="s">
        <v>1640</v>
      </c>
    </row>
    <row r="381" spans="1:2" x14ac:dyDescent="0.25">
      <c r="A381" t="s">
        <v>1641</v>
      </c>
      <c r="B381" t="s">
        <v>1642</v>
      </c>
    </row>
    <row r="382" spans="1:2" x14ac:dyDescent="0.25">
      <c r="A382" t="s">
        <v>1643</v>
      </c>
      <c r="B382" t="s">
        <v>1644</v>
      </c>
    </row>
    <row r="383" spans="1:2" x14ac:dyDescent="0.25">
      <c r="A383" t="s">
        <v>1645</v>
      </c>
      <c r="B383" t="s">
        <v>1646</v>
      </c>
    </row>
    <row r="384" spans="1:2" x14ac:dyDescent="0.25">
      <c r="A384" t="s">
        <v>1647</v>
      </c>
      <c r="B384" t="s">
        <v>1648</v>
      </c>
    </row>
    <row r="385" spans="1:2" x14ac:dyDescent="0.25">
      <c r="A385" t="s">
        <v>1649</v>
      </c>
      <c r="B385" t="s">
        <v>1650</v>
      </c>
    </row>
    <row r="386" spans="1:2" x14ac:dyDescent="0.25">
      <c r="A386" t="s">
        <v>1651</v>
      </c>
      <c r="B386" t="s">
        <v>1652</v>
      </c>
    </row>
    <row r="387" spans="1:2" x14ac:dyDescent="0.25">
      <c r="A387" t="s">
        <v>1653</v>
      </c>
      <c r="B387" t="s">
        <v>1654</v>
      </c>
    </row>
    <row r="388" spans="1:2" x14ac:dyDescent="0.25">
      <c r="A388" t="s">
        <v>1655</v>
      </c>
      <c r="B388" t="s">
        <v>1656</v>
      </c>
    </row>
    <row r="389" spans="1:2" x14ac:dyDescent="0.25">
      <c r="A389" t="s">
        <v>1657</v>
      </c>
      <c r="B389" t="s">
        <v>1658</v>
      </c>
    </row>
    <row r="390" spans="1:2" x14ac:dyDescent="0.25">
      <c r="A390" t="s">
        <v>1659</v>
      </c>
      <c r="B390" t="s">
        <v>1660</v>
      </c>
    </row>
    <row r="391" spans="1:2" x14ac:dyDescent="0.25">
      <c r="A391" t="s">
        <v>1661</v>
      </c>
      <c r="B391" t="s">
        <v>1662</v>
      </c>
    </row>
    <row r="392" spans="1:2" x14ac:dyDescent="0.25">
      <c r="A392" t="s">
        <v>1663</v>
      </c>
      <c r="B392" t="s">
        <v>1664</v>
      </c>
    </row>
    <row r="393" spans="1:2" x14ac:dyDescent="0.25">
      <c r="A393" t="s">
        <v>1665</v>
      </c>
      <c r="B393" t="s">
        <v>1666</v>
      </c>
    </row>
    <row r="394" spans="1:2" x14ac:dyDescent="0.25">
      <c r="A394" t="s">
        <v>1667</v>
      </c>
      <c r="B394" t="s">
        <v>1668</v>
      </c>
    </row>
    <row r="395" spans="1:2" x14ac:dyDescent="0.25">
      <c r="A395" t="s">
        <v>1669</v>
      </c>
      <c r="B395" t="s">
        <v>1670</v>
      </c>
    </row>
    <row r="396" spans="1:2" x14ac:dyDescent="0.25">
      <c r="A396" t="s">
        <v>1671</v>
      </c>
      <c r="B396" t="s">
        <v>1672</v>
      </c>
    </row>
    <row r="397" spans="1:2" x14ac:dyDescent="0.25">
      <c r="A397" t="s">
        <v>1673</v>
      </c>
      <c r="B397" t="s">
        <v>1674</v>
      </c>
    </row>
    <row r="398" spans="1:2" x14ac:dyDescent="0.25">
      <c r="A398" t="s">
        <v>1675</v>
      </c>
      <c r="B398" t="s">
        <v>1676</v>
      </c>
    </row>
    <row r="399" spans="1:2" x14ac:dyDescent="0.25">
      <c r="A399" t="s">
        <v>1677</v>
      </c>
      <c r="B399" t="s">
        <v>1678</v>
      </c>
    </row>
    <row r="400" spans="1:2" x14ac:dyDescent="0.25">
      <c r="A400" t="s">
        <v>1679</v>
      </c>
      <c r="B400" t="s">
        <v>1680</v>
      </c>
    </row>
    <row r="401" spans="1:2" x14ac:dyDescent="0.25">
      <c r="A401" t="s">
        <v>1681</v>
      </c>
      <c r="B401" t="s">
        <v>1682</v>
      </c>
    </row>
    <row r="402" spans="1:2" x14ac:dyDescent="0.25">
      <c r="A402" t="s">
        <v>1683</v>
      </c>
      <c r="B402" t="s">
        <v>1684</v>
      </c>
    </row>
    <row r="403" spans="1:2" x14ac:dyDescent="0.25">
      <c r="A403" t="s">
        <v>1685</v>
      </c>
      <c r="B403" t="s">
        <v>1686</v>
      </c>
    </row>
    <row r="404" spans="1:2" x14ac:dyDescent="0.25">
      <c r="A404" t="s">
        <v>1687</v>
      </c>
      <c r="B404" t="s">
        <v>1688</v>
      </c>
    </row>
    <row r="405" spans="1:2" x14ac:dyDescent="0.25">
      <c r="A405" t="s">
        <v>1689</v>
      </c>
      <c r="B405" t="s">
        <v>1690</v>
      </c>
    </row>
    <row r="406" spans="1:2" x14ac:dyDescent="0.25">
      <c r="A406" t="s">
        <v>1691</v>
      </c>
      <c r="B406" t="s">
        <v>1692</v>
      </c>
    </row>
    <row r="407" spans="1:2" x14ac:dyDescent="0.25">
      <c r="A407" t="s">
        <v>1693</v>
      </c>
      <c r="B407" t="s">
        <v>1694</v>
      </c>
    </row>
    <row r="408" spans="1:2" x14ac:dyDescent="0.25">
      <c r="A408" t="s">
        <v>1695</v>
      </c>
      <c r="B408" t="s">
        <v>1696</v>
      </c>
    </row>
    <row r="409" spans="1:2" x14ac:dyDescent="0.25">
      <c r="A409" t="s">
        <v>1697</v>
      </c>
      <c r="B409" t="s">
        <v>1698</v>
      </c>
    </row>
    <row r="410" spans="1:2" x14ac:dyDescent="0.25">
      <c r="A410" t="s">
        <v>1699</v>
      </c>
      <c r="B410" t="s">
        <v>1700</v>
      </c>
    </row>
    <row r="411" spans="1:2" x14ac:dyDescent="0.25">
      <c r="A411" t="s">
        <v>1701</v>
      </c>
      <c r="B411" t="s">
        <v>1702</v>
      </c>
    </row>
    <row r="412" spans="1:2" x14ac:dyDescent="0.25">
      <c r="A412" t="s">
        <v>1703</v>
      </c>
      <c r="B412" t="s">
        <v>1704</v>
      </c>
    </row>
    <row r="413" spans="1:2" x14ac:dyDescent="0.25">
      <c r="A413" t="s">
        <v>1705</v>
      </c>
      <c r="B413" t="s">
        <v>1706</v>
      </c>
    </row>
    <row r="414" spans="1:2" x14ac:dyDescent="0.25">
      <c r="A414" t="s">
        <v>1707</v>
      </c>
      <c r="B414" t="s">
        <v>1708</v>
      </c>
    </row>
    <row r="415" spans="1:2" x14ac:dyDescent="0.25">
      <c r="A415" t="s">
        <v>1709</v>
      </c>
      <c r="B415" t="s">
        <v>1710</v>
      </c>
    </row>
    <row r="416" spans="1:2" x14ac:dyDescent="0.25">
      <c r="A416" t="s">
        <v>1711</v>
      </c>
      <c r="B416" t="s">
        <v>1712</v>
      </c>
    </row>
    <row r="417" spans="1:2" x14ac:dyDescent="0.25">
      <c r="A417" t="s">
        <v>1713</v>
      </c>
      <c r="B417" t="s">
        <v>1714</v>
      </c>
    </row>
    <row r="418" spans="1:2" x14ac:dyDescent="0.25">
      <c r="A418" t="s">
        <v>1715</v>
      </c>
      <c r="B418" t="s">
        <v>1716</v>
      </c>
    </row>
    <row r="419" spans="1:2" x14ac:dyDescent="0.25">
      <c r="A419" t="s">
        <v>1717</v>
      </c>
      <c r="B419" t="s">
        <v>1718</v>
      </c>
    </row>
    <row r="420" spans="1:2" x14ac:dyDescent="0.25">
      <c r="A420" t="s">
        <v>1719</v>
      </c>
      <c r="B420" t="s">
        <v>1720</v>
      </c>
    </row>
    <row r="421" spans="1:2" x14ac:dyDescent="0.25">
      <c r="A421" t="s">
        <v>1721</v>
      </c>
      <c r="B421" t="s">
        <v>1722</v>
      </c>
    </row>
    <row r="422" spans="1:2" x14ac:dyDescent="0.25">
      <c r="A422" t="s">
        <v>1723</v>
      </c>
      <c r="B422" t="s">
        <v>1724</v>
      </c>
    </row>
    <row r="423" spans="1:2" x14ac:dyDescent="0.25">
      <c r="A423" t="s">
        <v>1725</v>
      </c>
      <c r="B423" t="s">
        <v>1726</v>
      </c>
    </row>
    <row r="424" spans="1:2" x14ac:dyDescent="0.25">
      <c r="A424" t="s">
        <v>1727</v>
      </c>
      <c r="B424" t="s">
        <v>1728</v>
      </c>
    </row>
    <row r="425" spans="1:2" x14ac:dyDescent="0.25">
      <c r="A425" t="s">
        <v>1729</v>
      </c>
      <c r="B425" t="s">
        <v>1730</v>
      </c>
    </row>
    <row r="426" spans="1:2" x14ac:dyDescent="0.25">
      <c r="A426" t="s">
        <v>1731</v>
      </c>
      <c r="B426" t="s">
        <v>1732</v>
      </c>
    </row>
    <row r="427" spans="1:2" x14ac:dyDescent="0.25">
      <c r="A427" t="s">
        <v>1733</v>
      </c>
      <c r="B427" t="s">
        <v>1734</v>
      </c>
    </row>
    <row r="428" spans="1:2" x14ac:dyDescent="0.25">
      <c r="A428" t="s">
        <v>1735</v>
      </c>
      <c r="B428" t="s">
        <v>1736</v>
      </c>
    </row>
    <row r="429" spans="1:2" x14ac:dyDescent="0.25">
      <c r="A429" t="s">
        <v>1737</v>
      </c>
      <c r="B429" t="s">
        <v>1738</v>
      </c>
    </row>
    <row r="430" spans="1:2" x14ac:dyDescent="0.25">
      <c r="A430" t="s">
        <v>1739</v>
      </c>
      <c r="B430" t="s">
        <v>1740</v>
      </c>
    </row>
    <row r="431" spans="1:2" x14ac:dyDescent="0.25">
      <c r="A431" t="s">
        <v>1741</v>
      </c>
      <c r="B431" t="s">
        <v>1742</v>
      </c>
    </row>
    <row r="432" spans="1:2" x14ac:dyDescent="0.25">
      <c r="A432" t="s">
        <v>1743</v>
      </c>
      <c r="B432" t="s">
        <v>1744</v>
      </c>
    </row>
    <row r="433" spans="1:2" x14ac:dyDescent="0.25">
      <c r="A433" t="s">
        <v>1745</v>
      </c>
      <c r="B433" t="s">
        <v>1746</v>
      </c>
    </row>
    <row r="434" spans="1:2" x14ac:dyDescent="0.25">
      <c r="A434" t="s">
        <v>1747</v>
      </c>
      <c r="B434" t="s">
        <v>1748</v>
      </c>
    </row>
    <row r="435" spans="1:2" x14ac:dyDescent="0.25">
      <c r="A435" t="s">
        <v>1749</v>
      </c>
      <c r="B435" t="s">
        <v>1750</v>
      </c>
    </row>
    <row r="436" spans="1:2" x14ac:dyDescent="0.25">
      <c r="A436" t="s">
        <v>1751</v>
      </c>
      <c r="B436" t="s">
        <v>1752</v>
      </c>
    </row>
    <row r="437" spans="1:2" x14ac:dyDescent="0.25">
      <c r="A437" t="s">
        <v>1753</v>
      </c>
      <c r="B437" t="s">
        <v>1754</v>
      </c>
    </row>
    <row r="438" spans="1:2" x14ac:dyDescent="0.25">
      <c r="A438" t="s">
        <v>1755</v>
      </c>
      <c r="B438" t="s">
        <v>1756</v>
      </c>
    </row>
    <row r="439" spans="1:2" x14ac:dyDescent="0.25">
      <c r="A439" t="s">
        <v>1757</v>
      </c>
      <c r="B439" t="s">
        <v>1758</v>
      </c>
    </row>
    <row r="440" spans="1:2" x14ac:dyDescent="0.25">
      <c r="A440" t="s">
        <v>1759</v>
      </c>
      <c r="B440" t="s">
        <v>1760</v>
      </c>
    </row>
    <row r="441" spans="1:2" x14ac:dyDescent="0.25">
      <c r="A441" t="s">
        <v>1761</v>
      </c>
      <c r="B441" t="s">
        <v>1762</v>
      </c>
    </row>
    <row r="442" spans="1:2" x14ac:dyDescent="0.25">
      <c r="A442" t="s">
        <v>1763</v>
      </c>
      <c r="B442" t="s">
        <v>1764</v>
      </c>
    </row>
    <row r="443" spans="1:2" x14ac:dyDescent="0.25">
      <c r="A443" t="s">
        <v>1765</v>
      </c>
      <c r="B443" t="s">
        <v>1766</v>
      </c>
    </row>
    <row r="444" spans="1:2" x14ac:dyDescent="0.25">
      <c r="A444" t="s">
        <v>1767</v>
      </c>
      <c r="B444" t="s">
        <v>1768</v>
      </c>
    </row>
    <row r="445" spans="1:2" x14ac:dyDescent="0.25">
      <c r="A445" t="s">
        <v>1769</v>
      </c>
      <c r="B445" t="s">
        <v>1770</v>
      </c>
    </row>
    <row r="446" spans="1:2" x14ac:dyDescent="0.25">
      <c r="A446" t="s">
        <v>1771</v>
      </c>
      <c r="B446" t="s">
        <v>1772</v>
      </c>
    </row>
    <row r="447" spans="1:2" x14ac:dyDescent="0.25">
      <c r="A447" t="s">
        <v>1773</v>
      </c>
      <c r="B447" t="s">
        <v>1774</v>
      </c>
    </row>
    <row r="448" spans="1:2" x14ac:dyDescent="0.25">
      <c r="A448" t="s">
        <v>1775</v>
      </c>
      <c r="B448" t="s">
        <v>1776</v>
      </c>
    </row>
    <row r="449" spans="1:2" x14ac:dyDescent="0.25">
      <c r="A449" t="s">
        <v>1777</v>
      </c>
      <c r="B449" t="s">
        <v>1778</v>
      </c>
    </row>
    <row r="450" spans="1:2" x14ac:dyDescent="0.25">
      <c r="A450" t="s">
        <v>1779</v>
      </c>
      <c r="B450" t="s">
        <v>1780</v>
      </c>
    </row>
    <row r="451" spans="1:2" x14ac:dyDescent="0.25">
      <c r="A451" t="s">
        <v>1781</v>
      </c>
      <c r="B451" t="s">
        <v>1782</v>
      </c>
    </row>
    <row r="452" spans="1:2" x14ac:dyDescent="0.25">
      <c r="A452" t="s">
        <v>1783</v>
      </c>
      <c r="B452" t="s">
        <v>1784</v>
      </c>
    </row>
    <row r="453" spans="1:2" x14ac:dyDescent="0.25">
      <c r="A453" t="s">
        <v>1785</v>
      </c>
      <c r="B453" t="s">
        <v>1786</v>
      </c>
    </row>
    <row r="454" spans="1:2" x14ac:dyDescent="0.25">
      <c r="A454" t="s">
        <v>1787</v>
      </c>
      <c r="B454" t="s">
        <v>1788</v>
      </c>
    </row>
    <row r="455" spans="1:2" x14ac:dyDescent="0.25">
      <c r="A455" t="s">
        <v>1789</v>
      </c>
      <c r="B455" t="s">
        <v>1790</v>
      </c>
    </row>
    <row r="456" spans="1:2" x14ac:dyDescent="0.25">
      <c r="A456" t="s">
        <v>1791</v>
      </c>
      <c r="B456" t="s">
        <v>1792</v>
      </c>
    </row>
    <row r="457" spans="1:2" x14ac:dyDescent="0.25">
      <c r="A457" t="s">
        <v>1793</v>
      </c>
      <c r="B457" t="s">
        <v>1794</v>
      </c>
    </row>
    <row r="458" spans="1:2" x14ac:dyDescent="0.25">
      <c r="A458" t="s">
        <v>1795</v>
      </c>
      <c r="B458" t="s">
        <v>1796</v>
      </c>
    </row>
    <row r="459" spans="1:2" x14ac:dyDescent="0.25">
      <c r="A459" t="s">
        <v>1797</v>
      </c>
      <c r="B459" t="s">
        <v>1798</v>
      </c>
    </row>
    <row r="460" spans="1:2" x14ac:dyDescent="0.25">
      <c r="A460" t="s">
        <v>1799</v>
      </c>
      <c r="B460" t="s">
        <v>1800</v>
      </c>
    </row>
    <row r="461" spans="1:2" x14ac:dyDescent="0.25">
      <c r="A461" t="s">
        <v>1801</v>
      </c>
      <c r="B461" t="s">
        <v>1802</v>
      </c>
    </row>
    <row r="462" spans="1:2" x14ac:dyDescent="0.25">
      <c r="A462" t="s">
        <v>1803</v>
      </c>
      <c r="B462" t="s">
        <v>1804</v>
      </c>
    </row>
    <row r="463" spans="1:2" x14ac:dyDescent="0.25">
      <c r="A463" t="s">
        <v>1805</v>
      </c>
      <c r="B463" t="s">
        <v>1806</v>
      </c>
    </row>
    <row r="464" spans="1:2" x14ac:dyDescent="0.25">
      <c r="A464" t="s">
        <v>1807</v>
      </c>
      <c r="B464" t="s">
        <v>1808</v>
      </c>
    </row>
    <row r="465" spans="1:2" x14ac:dyDescent="0.25">
      <c r="A465" t="s">
        <v>1809</v>
      </c>
      <c r="B465" t="s">
        <v>1810</v>
      </c>
    </row>
    <row r="466" spans="1:2" x14ac:dyDescent="0.25">
      <c r="A466" t="s">
        <v>1811</v>
      </c>
      <c r="B466" t="s">
        <v>999</v>
      </c>
    </row>
    <row r="467" spans="1:2" x14ac:dyDescent="0.25">
      <c r="A467" t="s">
        <v>1812</v>
      </c>
      <c r="B467" t="s">
        <v>1813</v>
      </c>
    </row>
    <row r="468" spans="1:2" x14ac:dyDescent="0.25">
      <c r="A468" t="s">
        <v>1814</v>
      </c>
      <c r="B468" t="s">
        <v>1815</v>
      </c>
    </row>
    <row r="469" spans="1:2" x14ac:dyDescent="0.25">
      <c r="A469" t="s">
        <v>1816</v>
      </c>
      <c r="B469" t="s">
        <v>1817</v>
      </c>
    </row>
    <row r="470" spans="1:2" x14ac:dyDescent="0.25">
      <c r="A470" t="s">
        <v>1818</v>
      </c>
      <c r="B470" t="s">
        <v>1819</v>
      </c>
    </row>
    <row r="471" spans="1:2" x14ac:dyDescent="0.25">
      <c r="A471" t="s">
        <v>1820</v>
      </c>
      <c r="B471" t="s">
        <v>1821</v>
      </c>
    </row>
    <row r="472" spans="1:2" x14ac:dyDescent="0.25">
      <c r="A472" t="s">
        <v>1822</v>
      </c>
      <c r="B472" t="s">
        <v>1823</v>
      </c>
    </row>
    <row r="473" spans="1:2" x14ac:dyDescent="0.25">
      <c r="A473" t="s">
        <v>735</v>
      </c>
      <c r="B473" t="s">
        <v>1824</v>
      </c>
    </row>
    <row r="474" spans="1:2" x14ac:dyDescent="0.25">
      <c r="A474" t="s">
        <v>1825</v>
      </c>
      <c r="B474" t="s">
        <v>1826</v>
      </c>
    </row>
    <row r="475" spans="1:2" x14ac:dyDescent="0.25">
      <c r="A475" t="s">
        <v>15</v>
      </c>
      <c r="B475" t="s">
        <v>16</v>
      </c>
    </row>
    <row r="476" spans="1:2" x14ac:dyDescent="0.25">
      <c r="A476" t="s">
        <v>1827</v>
      </c>
      <c r="B476" t="s">
        <v>1828</v>
      </c>
    </row>
    <row r="477" spans="1:2" x14ac:dyDescent="0.25">
      <c r="A477" t="s">
        <v>27</v>
      </c>
      <c r="B477" t="s">
        <v>28</v>
      </c>
    </row>
    <row r="478" spans="1:2" x14ac:dyDescent="0.25">
      <c r="A478" t="s">
        <v>1829</v>
      </c>
      <c r="B478" t="s">
        <v>1830</v>
      </c>
    </row>
    <row r="479" spans="1:2" x14ac:dyDescent="0.25">
      <c r="A479" t="s">
        <v>34</v>
      </c>
      <c r="B479" t="s">
        <v>35</v>
      </c>
    </row>
    <row r="480" spans="1:2" x14ac:dyDescent="0.25">
      <c r="A480" t="s">
        <v>46</v>
      </c>
      <c r="B480" t="s">
        <v>47</v>
      </c>
    </row>
    <row r="481" spans="1:2" x14ac:dyDescent="0.25">
      <c r="A481" t="s">
        <v>1831</v>
      </c>
      <c r="B481" t="s">
        <v>1832</v>
      </c>
    </row>
    <row r="482" spans="1:2" x14ac:dyDescent="0.25">
      <c r="A482" t="s">
        <v>1833</v>
      </c>
      <c r="B482" t="s">
        <v>1834</v>
      </c>
    </row>
    <row r="483" spans="1:2" x14ac:dyDescent="0.25">
      <c r="A483" t="s">
        <v>1835</v>
      </c>
      <c r="B483" t="s">
        <v>1836</v>
      </c>
    </row>
    <row r="484" spans="1:2" x14ac:dyDescent="0.25">
      <c r="A484" t="s">
        <v>1837</v>
      </c>
      <c r="B484" t="s">
        <v>1838</v>
      </c>
    </row>
    <row r="485" spans="1:2" x14ac:dyDescent="0.25">
      <c r="A485" t="s">
        <v>1839</v>
      </c>
      <c r="B485" t="s">
        <v>1840</v>
      </c>
    </row>
    <row r="486" spans="1:2" x14ac:dyDescent="0.25">
      <c r="A486" t="s">
        <v>156</v>
      </c>
      <c r="B486" t="s">
        <v>157</v>
      </c>
    </row>
    <row r="487" spans="1:2" x14ac:dyDescent="0.25">
      <c r="A487" t="s">
        <v>1841</v>
      </c>
      <c r="B487" t="s">
        <v>1842</v>
      </c>
    </row>
    <row r="488" spans="1:2" x14ac:dyDescent="0.25">
      <c r="A488" t="s">
        <v>1843</v>
      </c>
      <c r="B488" t="s">
        <v>1844</v>
      </c>
    </row>
    <row r="489" spans="1:2" x14ac:dyDescent="0.25">
      <c r="A489" t="s">
        <v>1845</v>
      </c>
      <c r="B489" t="s">
        <v>1846</v>
      </c>
    </row>
    <row r="490" spans="1:2" x14ac:dyDescent="0.25">
      <c r="A490" t="s">
        <v>1847</v>
      </c>
      <c r="B490" t="s">
        <v>1848</v>
      </c>
    </row>
    <row r="491" spans="1:2" x14ac:dyDescent="0.25">
      <c r="A491" t="s">
        <v>1849</v>
      </c>
      <c r="B491" t="s">
        <v>1850</v>
      </c>
    </row>
    <row r="492" spans="1:2" x14ac:dyDescent="0.25">
      <c r="A492" t="s">
        <v>1851</v>
      </c>
      <c r="B492" t="s">
        <v>1852</v>
      </c>
    </row>
    <row r="493" spans="1:2" x14ac:dyDescent="0.25">
      <c r="A493" t="s">
        <v>1853</v>
      </c>
      <c r="B493" t="s">
        <v>1854</v>
      </c>
    </row>
    <row r="494" spans="1:2" x14ac:dyDescent="0.25">
      <c r="A494" t="s">
        <v>1855</v>
      </c>
      <c r="B494" t="s">
        <v>1856</v>
      </c>
    </row>
    <row r="495" spans="1:2" x14ac:dyDescent="0.25">
      <c r="A495" t="s">
        <v>1857</v>
      </c>
      <c r="B495" t="s">
        <v>1858</v>
      </c>
    </row>
    <row r="496" spans="1:2" x14ac:dyDescent="0.25">
      <c r="A496" t="s">
        <v>174</v>
      </c>
      <c r="B496" t="s">
        <v>175</v>
      </c>
    </row>
    <row r="497" spans="1:2" x14ac:dyDescent="0.25">
      <c r="A497" t="s">
        <v>1859</v>
      </c>
      <c r="B497" t="s">
        <v>1860</v>
      </c>
    </row>
    <row r="498" spans="1:2" x14ac:dyDescent="0.25">
      <c r="A498" t="s">
        <v>1861</v>
      </c>
      <c r="B498" t="s">
        <v>1862</v>
      </c>
    </row>
    <row r="499" spans="1:2" x14ac:dyDescent="0.25">
      <c r="A499" t="s">
        <v>1863</v>
      </c>
      <c r="B499" t="s">
        <v>1864</v>
      </c>
    </row>
    <row r="500" spans="1:2" x14ac:dyDescent="0.25">
      <c r="A500" t="s">
        <v>1865</v>
      </c>
      <c r="B500" t="s">
        <v>1866</v>
      </c>
    </row>
    <row r="501" spans="1:2" x14ac:dyDescent="0.25">
      <c r="A501" t="s">
        <v>1867</v>
      </c>
      <c r="B501" t="s">
        <v>1868</v>
      </c>
    </row>
    <row r="502" spans="1:2" x14ac:dyDescent="0.25">
      <c r="A502" t="s">
        <v>1869</v>
      </c>
      <c r="B502" t="s">
        <v>1870</v>
      </c>
    </row>
    <row r="503" spans="1:2" x14ac:dyDescent="0.25">
      <c r="A503" t="s">
        <v>1871</v>
      </c>
      <c r="B503" t="s">
        <v>1872</v>
      </c>
    </row>
    <row r="504" spans="1:2" x14ac:dyDescent="0.25">
      <c r="A504" t="s">
        <v>1873</v>
      </c>
      <c r="B504" t="s">
        <v>1874</v>
      </c>
    </row>
    <row r="505" spans="1:2" x14ac:dyDescent="0.25">
      <c r="A505" t="s">
        <v>1875</v>
      </c>
      <c r="B505" t="s">
        <v>1876</v>
      </c>
    </row>
    <row r="506" spans="1:2" x14ac:dyDescent="0.25">
      <c r="A506" t="s">
        <v>1877</v>
      </c>
      <c r="B506" t="s">
        <v>1878</v>
      </c>
    </row>
    <row r="507" spans="1:2" x14ac:dyDescent="0.25">
      <c r="A507" t="s">
        <v>84</v>
      </c>
      <c r="B507" t="s">
        <v>1879</v>
      </c>
    </row>
    <row r="508" spans="1:2" x14ac:dyDescent="0.25">
      <c r="A508" t="s">
        <v>89</v>
      </c>
      <c r="B508" t="s">
        <v>90</v>
      </c>
    </row>
    <row r="509" spans="1:2" x14ac:dyDescent="0.25">
      <c r="A509" t="s">
        <v>97</v>
      </c>
      <c r="B509" t="s">
        <v>1880</v>
      </c>
    </row>
    <row r="510" spans="1:2" x14ac:dyDescent="0.25">
      <c r="A510" t="s">
        <v>103</v>
      </c>
      <c r="B510" t="s">
        <v>104</v>
      </c>
    </row>
    <row r="511" spans="1:2" x14ac:dyDescent="0.25">
      <c r="A511" t="s">
        <v>1881</v>
      </c>
      <c r="B511" t="s">
        <v>1832</v>
      </c>
    </row>
    <row r="512" spans="1:2" x14ac:dyDescent="0.25">
      <c r="A512" t="s">
        <v>1882</v>
      </c>
      <c r="B512" t="s">
        <v>1883</v>
      </c>
    </row>
    <row r="513" spans="1:2" x14ac:dyDescent="0.25">
      <c r="A513" t="s">
        <v>111</v>
      </c>
      <c r="B513" t="s">
        <v>112</v>
      </c>
    </row>
    <row r="514" spans="1:2" x14ac:dyDescent="0.25">
      <c r="A514" t="s">
        <v>1884</v>
      </c>
      <c r="B514" t="s">
        <v>1885</v>
      </c>
    </row>
    <row r="515" spans="1:2" x14ac:dyDescent="0.25">
      <c r="A515" t="s">
        <v>1886</v>
      </c>
      <c r="B515" t="s">
        <v>1887</v>
      </c>
    </row>
    <row r="516" spans="1:2" x14ac:dyDescent="0.25">
      <c r="A516" t="s">
        <v>1888</v>
      </c>
      <c r="B516" t="s">
        <v>1889</v>
      </c>
    </row>
    <row r="517" spans="1:2" x14ac:dyDescent="0.25">
      <c r="A517" t="s">
        <v>66</v>
      </c>
      <c r="B517" t="s">
        <v>67</v>
      </c>
    </row>
    <row r="518" spans="1:2" x14ac:dyDescent="0.25">
      <c r="A518" t="s">
        <v>1890</v>
      </c>
      <c r="B518" t="s">
        <v>1891</v>
      </c>
    </row>
    <row r="519" spans="1:2" x14ac:dyDescent="0.25">
      <c r="A519" t="s">
        <v>1892</v>
      </c>
      <c r="B519" t="s">
        <v>1893</v>
      </c>
    </row>
    <row r="520" spans="1:2" x14ac:dyDescent="0.25">
      <c r="A520" t="s">
        <v>182</v>
      </c>
      <c r="B520" t="s">
        <v>1894</v>
      </c>
    </row>
    <row r="521" spans="1:2" x14ac:dyDescent="0.25">
      <c r="A521" t="s">
        <v>1895</v>
      </c>
      <c r="B521" t="s">
        <v>1896</v>
      </c>
    </row>
    <row r="522" spans="1:2" x14ac:dyDescent="0.25">
      <c r="A522" t="s">
        <v>1897</v>
      </c>
      <c r="B522" t="s">
        <v>1898</v>
      </c>
    </row>
    <row r="523" spans="1:2" x14ac:dyDescent="0.25">
      <c r="A523" t="s">
        <v>1899</v>
      </c>
      <c r="B523" t="s">
        <v>1900</v>
      </c>
    </row>
    <row r="524" spans="1:2" x14ac:dyDescent="0.25">
      <c r="A524" t="s">
        <v>1901</v>
      </c>
      <c r="B524" t="s">
        <v>1902</v>
      </c>
    </row>
    <row r="525" spans="1:2" x14ac:dyDescent="0.25">
      <c r="A525" t="s">
        <v>1903</v>
      </c>
      <c r="B525" t="s">
        <v>1904</v>
      </c>
    </row>
    <row r="526" spans="1:2" x14ac:dyDescent="0.25">
      <c r="A526" t="s">
        <v>1905</v>
      </c>
      <c r="B526" t="s">
        <v>1906</v>
      </c>
    </row>
    <row r="527" spans="1:2" x14ac:dyDescent="0.25">
      <c r="A527" t="s">
        <v>1907</v>
      </c>
      <c r="B527" t="s">
        <v>1908</v>
      </c>
    </row>
    <row r="528" spans="1:2" x14ac:dyDescent="0.25">
      <c r="A528" t="s">
        <v>1909</v>
      </c>
      <c r="B528" t="s">
        <v>1910</v>
      </c>
    </row>
    <row r="529" spans="1:2" x14ac:dyDescent="0.25">
      <c r="A529" t="s">
        <v>1911</v>
      </c>
      <c r="B529" t="s">
        <v>1912</v>
      </c>
    </row>
    <row r="530" spans="1:2" x14ac:dyDescent="0.25">
      <c r="A530" t="s">
        <v>1913</v>
      </c>
      <c r="B530" t="s">
        <v>1914</v>
      </c>
    </row>
    <row r="531" spans="1:2" x14ac:dyDescent="0.25">
      <c r="A531" t="s">
        <v>1915</v>
      </c>
      <c r="B531" t="s">
        <v>1916</v>
      </c>
    </row>
    <row r="532" spans="1:2" x14ac:dyDescent="0.25">
      <c r="A532" t="s">
        <v>1917</v>
      </c>
      <c r="B532" t="s">
        <v>1918</v>
      </c>
    </row>
    <row r="533" spans="1:2" x14ac:dyDescent="0.25">
      <c r="A533" t="s">
        <v>1919</v>
      </c>
      <c r="B533" t="s">
        <v>1920</v>
      </c>
    </row>
    <row r="534" spans="1:2" x14ac:dyDescent="0.25">
      <c r="A534" t="s">
        <v>1921</v>
      </c>
      <c r="B534" t="s">
        <v>1922</v>
      </c>
    </row>
    <row r="535" spans="1:2" x14ac:dyDescent="0.25">
      <c r="A535" t="s">
        <v>1923</v>
      </c>
      <c r="B535" t="s">
        <v>1924</v>
      </c>
    </row>
    <row r="536" spans="1:2" x14ac:dyDescent="0.25">
      <c r="A536" t="s">
        <v>1925</v>
      </c>
      <c r="B536" t="s">
        <v>1926</v>
      </c>
    </row>
    <row r="537" spans="1:2" x14ac:dyDescent="0.25">
      <c r="A537" t="s">
        <v>1927</v>
      </c>
      <c r="B537" t="s">
        <v>1928</v>
      </c>
    </row>
    <row r="538" spans="1:2" x14ac:dyDescent="0.25">
      <c r="A538" t="s">
        <v>1929</v>
      </c>
      <c r="B538" t="s">
        <v>1930</v>
      </c>
    </row>
    <row r="539" spans="1:2" x14ac:dyDescent="0.25">
      <c r="A539" t="s">
        <v>1931</v>
      </c>
      <c r="B539" t="s">
        <v>1932</v>
      </c>
    </row>
    <row r="540" spans="1:2" x14ac:dyDescent="0.25">
      <c r="A540" t="s">
        <v>1933</v>
      </c>
      <c r="B540" t="s">
        <v>1934</v>
      </c>
    </row>
    <row r="541" spans="1:2" x14ac:dyDescent="0.25">
      <c r="A541" t="s">
        <v>1935</v>
      </c>
      <c r="B541" t="s">
        <v>1936</v>
      </c>
    </row>
    <row r="542" spans="1:2" x14ac:dyDescent="0.25">
      <c r="A542" t="s">
        <v>1937</v>
      </c>
      <c r="B542" t="s">
        <v>1938</v>
      </c>
    </row>
    <row r="543" spans="1:2" x14ac:dyDescent="0.25">
      <c r="A543" t="s">
        <v>1939</v>
      </c>
      <c r="B543" t="s">
        <v>1940</v>
      </c>
    </row>
    <row r="544" spans="1:2" x14ac:dyDescent="0.25">
      <c r="A544" t="s">
        <v>1941</v>
      </c>
      <c r="B544" t="s">
        <v>1942</v>
      </c>
    </row>
    <row r="545" spans="1:2" x14ac:dyDescent="0.25">
      <c r="A545" t="s">
        <v>1943</v>
      </c>
      <c r="B545" t="s">
        <v>1944</v>
      </c>
    </row>
    <row r="546" spans="1:2" x14ac:dyDescent="0.25">
      <c r="A546" t="s">
        <v>1945</v>
      </c>
      <c r="B546" t="s">
        <v>1946</v>
      </c>
    </row>
    <row r="547" spans="1:2" x14ac:dyDescent="0.25">
      <c r="A547" t="s">
        <v>1947</v>
      </c>
      <c r="B547" t="s">
        <v>1948</v>
      </c>
    </row>
    <row r="548" spans="1:2" x14ac:dyDescent="0.25">
      <c r="A548" t="s">
        <v>1949</v>
      </c>
      <c r="B548" t="s">
        <v>1950</v>
      </c>
    </row>
    <row r="549" spans="1:2" x14ac:dyDescent="0.25">
      <c r="A549" t="s">
        <v>1951</v>
      </c>
      <c r="B549" t="s">
        <v>1952</v>
      </c>
    </row>
    <row r="550" spans="1:2" x14ac:dyDescent="0.25">
      <c r="A550" t="s">
        <v>1953</v>
      </c>
      <c r="B550" t="s">
        <v>1954</v>
      </c>
    </row>
    <row r="551" spans="1:2" x14ac:dyDescent="0.25">
      <c r="A551" t="s">
        <v>1955</v>
      </c>
      <c r="B551" t="s">
        <v>1956</v>
      </c>
    </row>
    <row r="552" spans="1:2" x14ac:dyDescent="0.25">
      <c r="A552" t="s">
        <v>1957</v>
      </c>
      <c r="B552" t="s">
        <v>1958</v>
      </c>
    </row>
    <row r="553" spans="1:2" x14ac:dyDescent="0.25">
      <c r="A553" t="s">
        <v>192</v>
      </c>
      <c r="B553" t="s">
        <v>1959</v>
      </c>
    </row>
    <row r="554" spans="1:2" x14ac:dyDescent="0.25">
      <c r="A554" t="s">
        <v>1960</v>
      </c>
      <c r="B554" t="s">
        <v>1961</v>
      </c>
    </row>
    <row r="555" spans="1:2" x14ac:dyDescent="0.25">
      <c r="A555" t="s">
        <v>1962</v>
      </c>
      <c r="B555" t="s">
        <v>1963</v>
      </c>
    </row>
    <row r="556" spans="1:2" x14ac:dyDescent="0.25">
      <c r="A556" t="s">
        <v>401</v>
      </c>
      <c r="B556" t="s">
        <v>402</v>
      </c>
    </row>
    <row r="557" spans="1:2" x14ac:dyDescent="0.25">
      <c r="A557" t="s">
        <v>1964</v>
      </c>
      <c r="B557" t="s">
        <v>1965</v>
      </c>
    </row>
    <row r="558" spans="1:2" x14ac:dyDescent="0.25">
      <c r="A558" t="s">
        <v>408</v>
      </c>
      <c r="B558" t="s">
        <v>409</v>
      </c>
    </row>
    <row r="559" spans="1:2" x14ac:dyDescent="0.25">
      <c r="A559" t="s">
        <v>416</v>
      </c>
      <c r="B559" t="s">
        <v>417</v>
      </c>
    </row>
    <row r="560" spans="1:2" x14ac:dyDescent="0.25">
      <c r="A560" t="s">
        <v>421</v>
      </c>
      <c r="B560" t="s">
        <v>422</v>
      </c>
    </row>
    <row r="561" spans="1:2" x14ac:dyDescent="0.25">
      <c r="A561" t="s">
        <v>1966</v>
      </c>
      <c r="B561" t="s">
        <v>1967</v>
      </c>
    </row>
    <row r="562" spans="1:2" x14ac:dyDescent="0.25">
      <c r="A562" t="s">
        <v>1968</v>
      </c>
      <c r="B562" t="s">
        <v>1969</v>
      </c>
    </row>
    <row r="563" spans="1:2" x14ac:dyDescent="0.25">
      <c r="A563" t="s">
        <v>1970</v>
      </c>
      <c r="B563" t="s">
        <v>1971</v>
      </c>
    </row>
    <row r="564" spans="1:2" x14ac:dyDescent="0.25">
      <c r="A564" t="s">
        <v>1972</v>
      </c>
      <c r="B564" t="s">
        <v>1973</v>
      </c>
    </row>
    <row r="565" spans="1:2" x14ac:dyDescent="0.25">
      <c r="A565" t="s">
        <v>430</v>
      </c>
      <c r="B565" t="s">
        <v>431</v>
      </c>
    </row>
    <row r="566" spans="1:2" x14ac:dyDescent="0.25">
      <c r="A566" t="s">
        <v>1974</v>
      </c>
      <c r="B566" t="s">
        <v>1975</v>
      </c>
    </row>
    <row r="567" spans="1:2" x14ac:dyDescent="0.25">
      <c r="A567" t="s">
        <v>439</v>
      </c>
      <c r="B567" t="s">
        <v>440</v>
      </c>
    </row>
    <row r="568" spans="1:2" x14ac:dyDescent="0.25">
      <c r="A568" t="s">
        <v>444</v>
      </c>
      <c r="B568" t="s">
        <v>445</v>
      </c>
    </row>
    <row r="569" spans="1:2" x14ac:dyDescent="0.25">
      <c r="A569" t="s">
        <v>1976</v>
      </c>
      <c r="B569" t="s">
        <v>1977</v>
      </c>
    </row>
    <row r="570" spans="1:2" x14ac:dyDescent="0.25">
      <c r="A570" t="s">
        <v>449</v>
      </c>
      <c r="B570" t="s">
        <v>450</v>
      </c>
    </row>
    <row r="571" spans="1:2" x14ac:dyDescent="0.25">
      <c r="A571" t="s">
        <v>455</v>
      </c>
      <c r="B571" t="s">
        <v>456</v>
      </c>
    </row>
    <row r="572" spans="1:2" x14ac:dyDescent="0.25">
      <c r="A572" t="s">
        <v>1978</v>
      </c>
      <c r="B572" t="s">
        <v>1979</v>
      </c>
    </row>
    <row r="573" spans="1:2" x14ac:dyDescent="0.25">
      <c r="A573" t="s">
        <v>1980</v>
      </c>
      <c r="B573" t="s">
        <v>1981</v>
      </c>
    </row>
    <row r="574" spans="1:2" x14ac:dyDescent="0.25">
      <c r="A574" t="s">
        <v>469</v>
      </c>
      <c r="B574" t="s">
        <v>470</v>
      </c>
    </row>
    <row r="575" spans="1:2" x14ac:dyDescent="0.25">
      <c r="A575" t="s">
        <v>1982</v>
      </c>
      <c r="B575" t="s">
        <v>1983</v>
      </c>
    </row>
    <row r="576" spans="1:2" x14ac:dyDescent="0.25">
      <c r="A576" t="s">
        <v>1984</v>
      </c>
      <c r="B576" t="s">
        <v>1985</v>
      </c>
    </row>
    <row r="577" spans="1:2" x14ac:dyDescent="0.25">
      <c r="A577" t="s">
        <v>1986</v>
      </c>
      <c r="B577" t="s">
        <v>1987</v>
      </c>
    </row>
    <row r="578" spans="1:2" x14ac:dyDescent="0.25">
      <c r="A578" t="s">
        <v>1988</v>
      </c>
      <c r="B578" t="s">
        <v>1989</v>
      </c>
    </row>
    <row r="579" spans="1:2" x14ac:dyDescent="0.25">
      <c r="A579" t="s">
        <v>1990</v>
      </c>
      <c r="B579" t="s">
        <v>1991</v>
      </c>
    </row>
    <row r="580" spans="1:2" x14ac:dyDescent="0.25">
      <c r="A580" t="s">
        <v>481</v>
      </c>
      <c r="B580" t="s">
        <v>482</v>
      </c>
    </row>
    <row r="581" spans="1:2" x14ac:dyDescent="0.25">
      <c r="A581" t="s">
        <v>1992</v>
      </c>
      <c r="B581" t="s">
        <v>1993</v>
      </c>
    </row>
    <row r="582" spans="1:2" x14ac:dyDescent="0.25">
      <c r="A582" t="s">
        <v>1994</v>
      </c>
      <c r="B582" t="s">
        <v>1995</v>
      </c>
    </row>
    <row r="583" spans="1:2" x14ac:dyDescent="0.25">
      <c r="A583" t="s">
        <v>1996</v>
      </c>
      <c r="B583" t="s">
        <v>1997</v>
      </c>
    </row>
    <row r="584" spans="1:2" x14ac:dyDescent="0.25">
      <c r="A584" t="s">
        <v>1998</v>
      </c>
      <c r="B584" t="s">
        <v>1999</v>
      </c>
    </row>
    <row r="585" spans="1:2" x14ac:dyDescent="0.25">
      <c r="A585" t="s">
        <v>2000</v>
      </c>
      <c r="B585" t="s">
        <v>2001</v>
      </c>
    </row>
    <row r="586" spans="1:2" x14ac:dyDescent="0.25">
      <c r="A586" t="s">
        <v>2002</v>
      </c>
      <c r="B586" t="s">
        <v>2003</v>
      </c>
    </row>
    <row r="587" spans="1:2" x14ac:dyDescent="0.25">
      <c r="A587" t="s">
        <v>2004</v>
      </c>
      <c r="B587" t="s">
        <v>2005</v>
      </c>
    </row>
    <row r="588" spans="1:2" x14ac:dyDescent="0.25">
      <c r="A588" t="s">
        <v>2006</v>
      </c>
      <c r="B588" t="s">
        <v>2007</v>
      </c>
    </row>
    <row r="589" spans="1:2" x14ac:dyDescent="0.25">
      <c r="A589" t="s">
        <v>2008</v>
      </c>
      <c r="B589" t="s">
        <v>2009</v>
      </c>
    </row>
    <row r="590" spans="1:2" x14ac:dyDescent="0.25">
      <c r="A590" t="s">
        <v>2010</v>
      </c>
      <c r="B590" t="s">
        <v>2011</v>
      </c>
    </row>
    <row r="591" spans="1:2" x14ac:dyDescent="0.25">
      <c r="A591" t="s">
        <v>2012</v>
      </c>
      <c r="B591" t="s">
        <v>2013</v>
      </c>
    </row>
    <row r="592" spans="1:2" x14ac:dyDescent="0.25">
      <c r="A592" t="s">
        <v>2014</v>
      </c>
      <c r="B592" t="s">
        <v>2015</v>
      </c>
    </row>
    <row r="593" spans="1:2" x14ac:dyDescent="0.25">
      <c r="A593" t="s">
        <v>2016</v>
      </c>
      <c r="B593" t="s">
        <v>2017</v>
      </c>
    </row>
    <row r="594" spans="1:2" x14ac:dyDescent="0.25">
      <c r="A594" t="s">
        <v>2018</v>
      </c>
      <c r="B594" t="s">
        <v>2019</v>
      </c>
    </row>
    <row r="595" spans="1:2" x14ac:dyDescent="0.25">
      <c r="A595" t="s">
        <v>2020</v>
      </c>
      <c r="B595" t="s">
        <v>2021</v>
      </c>
    </row>
    <row r="596" spans="1:2" x14ac:dyDescent="0.25">
      <c r="A596" t="s">
        <v>2022</v>
      </c>
      <c r="B596" t="s">
        <v>2023</v>
      </c>
    </row>
    <row r="597" spans="1:2" x14ac:dyDescent="0.25">
      <c r="A597" t="s">
        <v>2024</v>
      </c>
      <c r="B597" t="s">
        <v>2025</v>
      </c>
    </row>
    <row r="598" spans="1:2" x14ac:dyDescent="0.25">
      <c r="A598" t="s">
        <v>2026</v>
      </c>
      <c r="B598" t="s">
        <v>2027</v>
      </c>
    </row>
    <row r="599" spans="1:2" x14ac:dyDescent="0.25">
      <c r="A599" t="s">
        <v>2028</v>
      </c>
      <c r="B599" t="s">
        <v>2029</v>
      </c>
    </row>
    <row r="600" spans="1:2" x14ac:dyDescent="0.25">
      <c r="A600" t="s">
        <v>2030</v>
      </c>
      <c r="B600" t="s">
        <v>2031</v>
      </c>
    </row>
    <row r="601" spans="1:2" x14ac:dyDescent="0.25">
      <c r="A601" t="s">
        <v>2032</v>
      </c>
      <c r="B601" t="s">
        <v>2033</v>
      </c>
    </row>
    <row r="602" spans="1:2" x14ac:dyDescent="0.25">
      <c r="A602" t="s">
        <v>2034</v>
      </c>
      <c r="B602" t="s">
        <v>2035</v>
      </c>
    </row>
    <row r="603" spans="1:2" x14ac:dyDescent="0.25">
      <c r="A603" t="s">
        <v>487</v>
      </c>
      <c r="B603" t="s">
        <v>488</v>
      </c>
    </row>
    <row r="604" spans="1:2" x14ac:dyDescent="0.25">
      <c r="A604" t="s">
        <v>492</v>
      </c>
      <c r="B604" t="s">
        <v>493</v>
      </c>
    </row>
    <row r="605" spans="1:2" x14ac:dyDescent="0.25">
      <c r="A605" t="s">
        <v>2036</v>
      </c>
      <c r="B605" t="s">
        <v>2037</v>
      </c>
    </row>
    <row r="606" spans="1:2" x14ac:dyDescent="0.25">
      <c r="A606" t="s">
        <v>508</v>
      </c>
      <c r="B606" t="s">
        <v>509</v>
      </c>
    </row>
    <row r="607" spans="1:2" x14ac:dyDescent="0.25">
      <c r="A607" t="s">
        <v>2038</v>
      </c>
      <c r="B607" t="s">
        <v>2039</v>
      </c>
    </row>
    <row r="608" spans="1:2" x14ac:dyDescent="0.25">
      <c r="A608" t="s">
        <v>2040</v>
      </c>
      <c r="B608" t="s">
        <v>2041</v>
      </c>
    </row>
    <row r="609" spans="1:2" x14ac:dyDescent="0.25">
      <c r="A609" t="s">
        <v>2042</v>
      </c>
      <c r="B609" t="s">
        <v>2043</v>
      </c>
    </row>
    <row r="610" spans="1:2" x14ac:dyDescent="0.25">
      <c r="A610" t="s">
        <v>514</v>
      </c>
      <c r="B610" t="s">
        <v>515</v>
      </c>
    </row>
    <row r="611" spans="1:2" x14ac:dyDescent="0.25">
      <c r="A611" t="s">
        <v>520</v>
      </c>
      <c r="B611" t="s">
        <v>2044</v>
      </c>
    </row>
    <row r="612" spans="1:2" x14ac:dyDescent="0.25">
      <c r="A612" t="s">
        <v>550</v>
      </c>
      <c r="B612" t="s">
        <v>551</v>
      </c>
    </row>
    <row r="613" spans="1:2" x14ac:dyDescent="0.25">
      <c r="A613" t="s">
        <v>2045</v>
      </c>
      <c r="B613" t="s">
        <v>2046</v>
      </c>
    </row>
    <row r="614" spans="1:2" x14ac:dyDescent="0.25">
      <c r="A614" t="s">
        <v>557</v>
      </c>
      <c r="B614" t="s">
        <v>558</v>
      </c>
    </row>
    <row r="615" spans="1:2" x14ac:dyDescent="0.25">
      <c r="A615" t="s">
        <v>563</v>
      </c>
      <c r="B615" t="s">
        <v>564</v>
      </c>
    </row>
    <row r="616" spans="1:2" x14ac:dyDescent="0.25">
      <c r="A616" t="s">
        <v>2047</v>
      </c>
      <c r="B616" t="s">
        <v>2048</v>
      </c>
    </row>
    <row r="617" spans="1:2" x14ac:dyDescent="0.25">
      <c r="A617" t="s">
        <v>2049</v>
      </c>
      <c r="B617" t="s">
        <v>2050</v>
      </c>
    </row>
    <row r="618" spans="1:2" x14ac:dyDescent="0.25">
      <c r="A618" t="s">
        <v>2051</v>
      </c>
      <c r="B618" t="s">
        <v>2052</v>
      </c>
    </row>
    <row r="619" spans="1:2" x14ac:dyDescent="0.25">
      <c r="A619" t="s">
        <v>2053</v>
      </c>
      <c r="B619" t="s">
        <v>2054</v>
      </c>
    </row>
    <row r="620" spans="1:2" x14ac:dyDescent="0.25">
      <c r="A620" t="s">
        <v>2055</v>
      </c>
      <c r="B620" t="s">
        <v>2056</v>
      </c>
    </row>
    <row r="621" spans="1:2" x14ac:dyDescent="0.25">
      <c r="A621" t="s">
        <v>567</v>
      </c>
      <c r="B621" t="s">
        <v>568</v>
      </c>
    </row>
    <row r="622" spans="1:2" x14ac:dyDescent="0.25">
      <c r="A622" t="s">
        <v>2057</v>
      </c>
      <c r="B622" t="s">
        <v>2058</v>
      </c>
    </row>
    <row r="623" spans="1:2" x14ac:dyDescent="0.25">
      <c r="A623" t="s">
        <v>579</v>
      </c>
      <c r="B623" t="s">
        <v>580</v>
      </c>
    </row>
    <row r="624" spans="1:2" x14ac:dyDescent="0.25">
      <c r="A624" t="s">
        <v>2059</v>
      </c>
      <c r="B624" t="s">
        <v>2060</v>
      </c>
    </row>
    <row r="625" spans="1:2" x14ac:dyDescent="0.25">
      <c r="A625" t="s">
        <v>2061</v>
      </c>
      <c r="B625" t="s">
        <v>2062</v>
      </c>
    </row>
    <row r="626" spans="1:2" x14ac:dyDescent="0.25">
      <c r="A626" t="s">
        <v>2063</v>
      </c>
      <c r="B626" t="s">
        <v>2064</v>
      </c>
    </row>
    <row r="627" spans="1:2" x14ac:dyDescent="0.25">
      <c r="A627" t="s">
        <v>594</v>
      </c>
      <c r="B627" t="s">
        <v>595</v>
      </c>
    </row>
    <row r="628" spans="1:2" x14ac:dyDescent="0.25">
      <c r="A628" t="s">
        <v>599</v>
      </c>
      <c r="B628" t="s">
        <v>2065</v>
      </c>
    </row>
    <row r="629" spans="1:2" x14ac:dyDescent="0.25">
      <c r="A629" t="s">
        <v>2066</v>
      </c>
      <c r="B629" t="s">
        <v>2067</v>
      </c>
    </row>
    <row r="630" spans="1:2" x14ac:dyDescent="0.25">
      <c r="A630" t="s">
        <v>2068</v>
      </c>
      <c r="B630" t="s">
        <v>2069</v>
      </c>
    </row>
    <row r="631" spans="1:2" x14ac:dyDescent="0.25">
      <c r="A631" t="s">
        <v>2070</v>
      </c>
      <c r="B631" t="s">
        <v>2071</v>
      </c>
    </row>
    <row r="632" spans="1:2" x14ac:dyDescent="0.25">
      <c r="A632" t="s">
        <v>610</v>
      </c>
      <c r="B632" t="s">
        <v>2072</v>
      </c>
    </row>
    <row r="633" spans="1:2" x14ac:dyDescent="0.25">
      <c r="A633" t="s">
        <v>2073</v>
      </c>
      <c r="B633" t="s">
        <v>2074</v>
      </c>
    </row>
    <row r="634" spans="1:2" x14ac:dyDescent="0.25">
      <c r="A634" t="s">
        <v>629</v>
      </c>
      <c r="B634" t="s">
        <v>630</v>
      </c>
    </row>
    <row r="635" spans="1:2" x14ac:dyDescent="0.25">
      <c r="A635" t="s">
        <v>2075</v>
      </c>
      <c r="B635" t="s">
        <v>2076</v>
      </c>
    </row>
    <row r="636" spans="1:2" x14ac:dyDescent="0.25">
      <c r="A636" t="s">
        <v>636</v>
      </c>
      <c r="B636" t="s">
        <v>2077</v>
      </c>
    </row>
    <row r="637" spans="1:2" x14ac:dyDescent="0.25">
      <c r="A637" t="s">
        <v>639</v>
      </c>
      <c r="B637" t="s">
        <v>640</v>
      </c>
    </row>
    <row r="638" spans="1:2" x14ac:dyDescent="0.25">
      <c r="A638" t="s">
        <v>2078</v>
      </c>
      <c r="B638" t="s">
        <v>2079</v>
      </c>
    </row>
    <row r="639" spans="1:2" x14ac:dyDescent="0.25">
      <c r="A639" t="s">
        <v>2080</v>
      </c>
      <c r="B639" t="s">
        <v>2081</v>
      </c>
    </row>
    <row r="640" spans="1:2" x14ac:dyDescent="0.25">
      <c r="A640" t="s">
        <v>644</v>
      </c>
      <c r="B640" t="s">
        <v>645</v>
      </c>
    </row>
    <row r="641" spans="1:2" x14ac:dyDescent="0.25">
      <c r="A641" t="s">
        <v>2082</v>
      </c>
      <c r="B641" t="s">
        <v>2083</v>
      </c>
    </row>
    <row r="642" spans="1:2" x14ac:dyDescent="0.25">
      <c r="A642" t="s">
        <v>2084</v>
      </c>
      <c r="B642" t="s">
        <v>2085</v>
      </c>
    </row>
    <row r="643" spans="1:2" x14ac:dyDescent="0.25">
      <c r="A643" t="s">
        <v>650</v>
      </c>
      <c r="B643" t="s">
        <v>651</v>
      </c>
    </row>
    <row r="644" spans="1:2" x14ac:dyDescent="0.25">
      <c r="A644" t="s">
        <v>656</v>
      </c>
      <c r="B644" t="s">
        <v>657</v>
      </c>
    </row>
    <row r="645" spans="1:2" x14ac:dyDescent="0.25">
      <c r="A645" t="s">
        <v>660</v>
      </c>
      <c r="B645" t="s">
        <v>2086</v>
      </c>
    </row>
    <row r="646" spans="1:2" x14ac:dyDescent="0.25">
      <c r="A646" t="s">
        <v>2087</v>
      </c>
      <c r="B646" t="s">
        <v>2088</v>
      </c>
    </row>
    <row r="647" spans="1:2" x14ac:dyDescent="0.25">
      <c r="A647" t="s">
        <v>678</v>
      </c>
      <c r="B647" t="s">
        <v>679</v>
      </c>
    </row>
    <row r="648" spans="1:2" x14ac:dyDescent="0.25">
      <c r="A648" t="s">
        <v>2089</v>
      </c>
      <c r="B648" t="s">
        <v>2090</v>
      </c>
    </row>
    <row r="649" spans="1:2" x14ac:dyDescent="0.25">
      <c r="A649" t="s">
        <v>681</v>
      </c>
      <c r="B649" t="s">
        <v>682</v>
      </c>
    </row>
    <row r="650" spans="1:2" x14ac:dyDescent="0.25">
      <c r="A650" t="s">
        <v>752</v>
      </c>
      <c r="B650" t="s">
        <v>1864</v>
      </c>
    </row>
    <row r="651" spans="1:2" x14ac:dyDescent="0.25">
      <c r="A651" t="s">
        <v>2091</v>
      </c>
      <c r="B651" t="s">
        <v>2092</v>
      </c>
    </row>
    <row r="652" spans="1:2" x14ac:dyDescent="0.25">
      <c r="A652" t="s">
        <v>831</v>
      </c>
      <c r="B652" t="s">
        <v>832</v>
      </c>
    </row>
    <row r="653" spans="1:2" x14ac:dyDescent="0.25">
      <c r="A653" t="s">
        <v>2093</v>
      </c>
      <c r="B653" t="s">
        <v>2094</v>
      </c>
    </row>
    <row r="654" spans="1:2" x14ac:dyDescent="0.25">
      <c r="A654" t="s">
        <v>2095</v>
      </c>
      <c r="B654" t="s">
        <v>2096</v>
      </c>
    </row>
    <row r="655" spans="1:2" x14ac:dyDescent="0.25">
      <c r="A655" t="s">
        <v>2097</v>
      </c>
      <c r="B655" t="s">
        <v>2098</v>
      </c>
    </row>
    <row r="656" spans="1:2" x14ac:dyDescent="0.25">
      <c r="A656" t="s">
        <v>2099</v>
      </c>
      <c r="B656" t="s">
        <v>2100</v>
      </c>
    </row>
    <row r="657" spans="1:2" x14ac:dyDescent="0.25">
      <c r="A657" t="s">
        <v>2101</v>
      </c>
      <c r="B657" t="s">
        <v>2102</v>
      </c>
    </row>
    <row r="658" spans="1:2" x14ac:dyDescent="0.25">
      <c r="A658" t="s">
        <v>2103</v>
      </c>
      <c r="B658" t="s">
        <v>2104</v>
      </c>
    </row>
    <row r="659" spans="1:2" x14ac:dyDescent="0.25">
      <c r="A659" t="s">
        <v>2105</v>
      </c>
      <c r="B659" t="s">
        <v>2106</v>
      </c>
    </row>
    <row r="660" spans="1:2" x14ac:dyDescent="0.25">
      <c r="A660" t="s">
        <v>2107</v>
      </c>
      <c r="B660" t="s">
        <v>2108</v>
      </c>
    </row>
    <row r="661" spans="1:2" x14ac:dyDescent="0.25">
      <c r="A661" t="s">
        <v>2109</v>
      </c>
      <c r="B661" t="s">
        <v>2110</v>
      </c>
    </row>
    <row r="662" spans="1:2" x14ac:dyDescent="0.25">
      <c r="A662" t="s">
        <v>2111</v>
      </c>
      <c r="B662" t="s">
        <v>2112</v>
      </c>
    </row>
    <row r="663" spans="1:2" x14ac:dyDescent="0.25">
      <c r="A663" t="s">
        <v>289</v>
      </c>
      <c r="B663" t="s">
        <v>290</v>
      </c>
    </row>
    <row r="664" spans="1:2" x14ac:dyDescent="0.25">
      <c r="A664" t="s">
        <v>2113</v>
      </c>
      <c r="B664" t="s">
        <v>2114</v>
      </c>
    </row>
    <row r="665" spans="1:2" x14ac:dyDescent="0.25">
      <c r="A665" t="s">
        <v>2115</v>
      </c>
      <c r="B665" t="s">
        <v>2116</v>
      </c>
    </row>
    <row r="666" spans="1:2" x14ac:dyDescent="0.25">
      <c r="A666" t="s">
        <v>2117</v>
      </c>
      <c r="B666" t="s">
        <v>2118</v>
      </c>
    </row>
    <row r="667" spans="1:2" x14ac:dyDescent="0.25">
      <c r="A667" t="s">
        <v>2119</v>
      </c>
      <c r="B667" t="s">
        <v>2120</v>
      </c>
    </row>
    <row r="668" spans="1:2" x14ac:dyDescent="0.25">
      <c r="A668" t="s">
        <v>2121</v>
      </c>
      <c r="B668" t="s">
        <v>2122</v>
      </c>
    </row>
    <row r="669" spans="1:2" x14ac:dyDescent="0.25">
      <c r="A669" t="s">
        <v>2123</v>
      </c>
      <c r="B669" t="s">
        <v>2124</v>
      </c>
    </row>
    <row r="670" spans="1:2" x14ac:dyDescent="0.25">
      <c r="A670" t="s">
        <v>2125</v>
      </c>
      <c r="B670" t="s">
        <v>2126</v>
      </c>
    </row>
    <row r="671" spans="1:2" x14ac:dyDescent="0.25">
      <c r="A671" t="s">
        <v>2127</v>
      </c>
      <c r="B671" t="s">
        <v>2128</v>
      </c>
    </row>
    <row r="672" spans="1:2" x14ac:dyDescent="0.25">
      <c r="A672" t="s">
        <v>298</v>
      </c>
      <c r="B672" t="s">
        <v>299</v>
      </c>
    </row>
    <row r="673" spans="1:2" x14ac:dyDescent="0.25">
      <c r="A673" t="s">
        <v>2129</v>
      </c>
      <c r="B673" t="s">
        <v>2130</v>
      </c>
    </row>
    <row r="674" spans="1:2" x14ac:dyDescent="0.25">
      <c r="A674" t="s">
        <v>2131</v>
      </c>
      <c r="B674" t="s">
        <v>2132</v>
      </c>
    </row>
    <row r="675" spans="1:2" x14ac:dyDescent="0.25">
      <c r="A675" t="s">
        <v>2133</v>
      </c>
      <c r="B675" t="s">
        <v>2134</v>
      </c>
    </row>
    <row r="676" spans="1:2" x14ac:dyDescent="0.25">
      <c r="A676" t="s">
        <v>2135</v>
      </c>
      <c r="B676" t="s">
        <v>2136</v>
      </c>
    </row>
    <row r="677" spans="1:2" x14ac:dyDescent="0.25">
      <c r="A677" t="s">
        <v>312</v>
      </c>
      <c r="B677" t="s">
        <v>313</v>
      </c>
    </row>
    <row r="678" spans="1:2" x14ac:dyDescent="0.25">
      <c r="A678" t="s">
        <v>2137</v>
      </c>
      <c r="B678" t="s">
        <v>2138</v>
      </c>
    </row>
    <row r="679" spans="1:2" x14ac:dyDescent="0.25">
      <c r="A679" t="s">
        <v>2139</v>
      </c>
      <c r="B679" t="s">
        <v>2140</v>
      </c>
    </row>
    <row r="680" spans="1:2" x14ac:dyDescent="0.25">
      <c r="A680" t="s">
        <v>2141</v>
      </c>
      <c r="B680" t="s">
        <v>2142</v>
      </c>
    </row>
    <row r="681" spans="1:2" x14ac:dyDescent="0.25">
      <c r="A681" t="s">
        <v>2143</v>
      </c>
      <c r="B681" t="s">
        <v>2144</v>
      </c>
    </row>
    <row r="682" spans="1:2" x14ac:dyDescent="0.25">
      <c r="A682" t="s">
        <v>318</v>
      </c>
      <c r="B682" t="s">
        <v>319</v>
      </c>
    </row>
    <row r="683" spans="1:2" x14ac:dyDescent="0.25">
      <c r="A683" t="s">
        <v>2145</v>
      </c>
      <c r="B683" t="s">
        <v>2146</v>
      </c>
    </row>
    <row r="684" spans="1:2" x14ac:dyDescent="0.25">
      <c r="A684" t="s">
        <v>2147</v>
      </c>
      <c r="B684" t="s">
        <v>2148</v>
      </c>
    </row>
    <row r="685" spans="1:2" x14ac:dyDescent="0.25">
      <c r="A685" t="s">
        <v>2149</v>
      </c>
      <c r="B685" t="s">
        <v>2150</v>
      </c>
    </row>
    <row r="686" spans="1:2" x14ac:dyDescent="0.25">
      <c r="A686" t="s">
        <v>2151</v>
      </c>
      <c r="B686" t="s">
        <v>2152</v>
      </c>
    </row>
    <row r="687" spans="1:2" x14ac:dyDescent="0.25">
      <c r="A687" t="s">
        <v>2153</v>
      </c>
      <c r="B687" t="s">
        <v>2154</v>
      </c>
    </row>
    <row r="688" spans="1:2" x14ac:dyDescent="0.25">
      <c r="A688" t="s">
        <v>328</v>
      </c>
      <c r="B688" t="s">
        <v>329</v>
      </c>
    </row>
    <row r="689" spans="1:2" x14ac:dyDescent="0.25">
      <c r="A689" t="s">
        <v>2155</v>
      </c>
      <c r="B689" t="s">
        <v>2156</v>
      </c>
    </row>
    <row r="690" spans="1:2" x14ac:dyDescent="0.25">
      <c r="A690" t="s">
        <v>2157</v>
      </c>
      <c r="B690" t="s">
        <v>2158</v>
      </c>
    </row>
    <row r="691" spans="1:2" x14ac:dyDescent="0.25">
      <c r="A691" t="s">
        <v>2159</v>
      </c>
      <c r="B691" t="s">
        <v>2160</v>
      </c>
    </row>
    <row r="692" spans="1:2" x14ac:dyDescent="0.25">
      <c r="A692" t="s">
        <v>2161</v>
      </c>
      <c r="B692" t="s">
        <v>2162</v>
      </c>
    </row>
    <row r="693" spans="1:2" x14ac:dyDescent="0.25">
      <c r="A693" t="s">
        <v>2163</v>
      </c>
      <c r="B693" t="s">
        <v>2164</v>
      </c>
    </row>
    <row r="694" spans="1:2" x14ac:dyDescent="0.25">
      <c r="A694" t="s">
        <v>2165</v>
      </c>
      <c r="B694" t="s">
        <v>2166</v>
      </c>
    </row>
    <row r="695" spans="1:2" x14ac:dyDescent="0.25">
      <c r="A695" t="s">
        <v>2167</v>
      </c>
      <c r="B695" t="s">
        <v>2168</v>
      </c>
    </row>
    <row r="696" spans="1:2" x14ac:dyDescent="0.25">
      <c r="A696" t="s">
        <v>338</v>
      </c>
      <c r="B696" t="s">
        <v>339</v>
      </c>
    </row>
    <row r="697" spans="1:2" x14ac:dyDescent="0.25">
      <c r="A697" t="s">
        <v>344</v>
      </c>
      <c r="B697" t="s">
        <v>345</v>
      </c>
    </row>
    <row r="698" spans="1:2" x14ac:dyDescent="0.25">
      <c r="A698" t="s">
        <v>351</v>
      </c>
      <c r="B698" t="s">
        <v>352</v>
      </c>
    </row>
    <row r="699" spans="1:2" x14ac:dyDescent="0.25">
      <c r="A699" t="s">
        <v>369</v>
      </c>
      <c r="B699" t="s">
        <v>370</v>
      </c>
    </row>
    <row r="700" spans="1:2" x14ac:dyDescent="0.25">
      <c r="A700" t="s">
        <v>2169</v>
      </c>
      <c r="B700" t="s">
        <v>2170</v>
      </c>
    </row>
    <row r="701" spans="1:2" x14ac:dyDescent="0.25">
      <c r="A701" t="s">
        <v>2171</v>
      </c>
      <c r="B701" t="s">
        <v>2172</v>
      </c>
    </row>
    <row r="702" spans="1:2" x14ac:dyDescent="0.25">
      <c r="A702" t="s">
        <v>2173</v>
      </c>
      <c r="B702" t="s">
        <v>2174</v>
      </c>
    </row>
    <row r="703" spans="1:2" x14ac:dyDescent="0.25">
      <c r="A703" t="s">
        <v>2175</v>
      </c>
      <c r="B703" t="s">
        <v>2176</v>
      </c>
    </row>
    <row r="704" spans="1:2" x14ac:dyDescent="0.25">
      <c r="A704" t="s">
        <v>2177</v>
      </c>
      <c r="B704" t="s">
        <v>2178</v>
      </c>
    </row>
    <row r="705" spans="1:2" x14ac:dyDescent="0.25">
      <c r="A705" t="s">
        <v>374</v>
      </c>
      <c r="B705" t="s">
        <v>375</v>
      </c>
    </row>
    <row r="706" spans="1:2" x14ac:dyDescent="0.25">
      <c r="A706" t="s">
        <v>2179</v>
      </c>
      <c r="B706" t="s">
        <v>2180</v>
      </c>
    </row>
    <row r="707" spans="1:2" x14ac:dyDescent="0.25">
      <c r="A707" t="s">
        <v>2181</v>
      </c>
      <c r="B707" t="s">
        <v>2182</v>
      </c>
    </row>
    <row r="708" spans="1:2" x14ac:dyDescent="0.25">
      <c r="A708" t="s">
        <v>2183</v>
      </c>
      <c r="B708" t="s">
        <v>2184</v>
      </c>
    </row>
    <row r="709" spans="1:2" x14ac:dyDescent="0.25">
      <c r="A709" t="s">
        <v>2185</v>
      </c>
      <c r="B709" t="s">
        <v>2186</v>
      </c>
    </row>
    <row r="710" spans="1:2" x14ac:dyDescent="0.25">
      <c r="A710" t="s">
        <v>380</v>
      </c>
      <c r="B710" t="s">
        <v>381</v>
      </c>
    </row>
    <row r="711" spans="1:2" x14ac:dyDescent="0.25">
      <c r="A711" t="s">
        <v>2187</v>
      </c>
      <c r="B711" t="s">
        <v>2188</v>
      </c>
    </row>
    <row r="712" spans="1:2" x14ac:dyDescent="0.25">
      <c r="A712" t="s">
        <v>390</v>
      </c>
      <c r="B712" t="s">
        <v>391</v>
      </c>
    </row>
    <row r="713" spans="1:2" x14ac:dyDescent="0.25">
      <c r="A713" t="s">
        <v>220</v>
      </c>
      <c r="B713" t="s">
        <v>221</v>
      </c>
    </row>
    <row r="714" spans="1:2" x14ac:dyDescent="0.25">
      <c r="A714" t="s">
        <v>2189</v>
      </c>
      <c r="B714" t="s">
        <v>2190</v>
      </c>
    </row>
    <row r="715" spans="1:2" x14ac:dyDescent="0.25">
      <c r="A715" t="s">
        <v>2191</v>
      </c>
      <c r="B715" t="s">
        <v>2192</v>
      </c>
    </row>
    <row r="716" spans="1:2" x14ac:dyDescent="0.25">
      <c r="A716" t="s">
        <v>2193</v>
      </c>
      <c r="B716" t="s">
        <v>2194</v>
      </c>
    </row>
    <row r="717" spans="1:2" x14ac:dyDescent="0.25">
      <c r="A717" t="s">
        <v>2195</v>
      </c>
      <c r="B717" t="s">
        <v>2196</v>
      </c>
    </row>
    <row r="718" spans="1:2" x14ac:dyDescent="0.25">
      <c r="A718" t="s">
        <v>2197</v>
      </c>
      <c r="B718" t="s">
        <v>2198</v>
      </c>
    </row>
    <row r="719" spans="1:2" x14ac:dyDescent="0.25">
      <c r="A719" t="s">
        <v>2199</v>
      </c>
      <c r="B719" t="s">
        <v>2200</v>
      </c>
    </row>
    <row r="720" spans="1:2" x14ac:dyDescent="0.25">
      <c r="A720" t="s">
        <v>2201</v>
      </c>
      <c r="B720" t="s">
        <v>2202</v>
      </c>
    </row>
    <row r="721" spans="1:2" x14ac:dyDescent="0.25">
      <c r="A721" t="s">
        <v>2203</v>
      </c>
      <c r="B721" t="s">
        <v>2204</v>
      </c>
    </row>
    <row r="722" spans="1:2" x14ac:dyDescent="0.25">
      <c r="A722" t="s">
        <v>2205</v>
      </c>
      <c r="B722" t="s">
        <v>2206</v>
      </c>
    </row>
    <row r="723" spans="1:2" x14ac:dyDescent="0.25">
      <c r="A723" t="s">
        <v>2207</v>
      </c>
      <c r="B723" t="s">
        <v>2208</v>
      </c>
    </row>
    <row r="724" spans="1:2" x14ac:dyDescent="0.25">
      <c r="A724" t="s">
        <v>2209</v>
      </c>
      <c r="B724" t="s">
        <v>2210</v>
      </c>
    </row>
    <row r="725" spans="1:2" x14ac:dyDescent="0.25">
      <c r="A725" t="s">
        <v>2211</v>
      </c>
      <c r="B725" t="s">
        <v>2212</v>
      </c>
    </row>
    <row r="726" spans="1:2" x14ac:dyDescent="0.25">
      <c r="A726" t="s">
        <v>690</v>
      </c>
      <c r="B726" t="s">
        <v>691</v>
      </c>
    </row>
    <row r="727" spans="1:2" x14ac:dyDescent="0.25">
      <c r="A727" t="s">
        <v>2213</v>
      </c>
      <c r="B727" t="s">
        <v>2214</v>
      </c>
    </row>
    <row r="728" spans="1:2" x14ac:dyDescent="0.25">
      <c r="A728" t="s">
        <v>696</v>
      </c>
      <c r="B728" t="s">
        <v>697</v>
      </c>
    </row>
    <row r="729" spans="1:2" x14ac:dyDescent="0.25">
      <c r="A729" t="s">
        <v>2215</v>
      </c>
      <c r="B729" t="s">
        <v>2216</v>
      </c>
    </row>
    <row r="730" spans="1:2" x14ac:dyDescent="0.25">
      <c r="A730" t="s">
        <v>700</v>
      </c>
      <c r="B730" t="s">
        <v>701</v>
      </c>
    </row>
    <row r="731" spans="1:2" x14ac:dyDescent="0.25">
      <c r="A731" t="s">
        <v>704</v>
      </c>
      <c r="B731" t="s">
        <v>705</v>
      </c>
    </row>
    <row r="732" spans="1:2" x14ac:dyDescent="0.25">
      <c r="A732" t="s">
        <v>707</v>
      </c>
      <c r="B732" t="s">
        <v>708</v>
      </c>
    </row>
    <row r="733" spans="1:2" x14ac:dyDescent="0.25">
      <c r="A733" t="s">
        <v>712</v>
      </c>
      <c r="B733" t="s">
        <v>713</v>
      </c>
    </row>
    <row r="734" spans="1:2" x14ac:dyDescent="0.25">
      <c r="A734" t="s">
        <v>720</v>
      </c>
      <c r="B734" t="s">
        <v>721</v>
      </c>
    </row>
    <row r="735" spans="1:2" x14ac:dyDescent="0.25">
      <c r="A735" t="s">
        <v>2217</v>
      </c>
      <c r="B735" t="s">
        <v>2218</v>
      </c>
    </row>
    <row r="736" spans="1:2" x14ac:dyDescent="0.25">
      <c r="A736" t="s">
        <v>2219</v>
      </c>
      <c r="B736" t="s">
        <v>2220</v>
      </c>
    </row>
    <row r="737" spans="1:2" x14ac:dyDescent="0.25">
      <c r="A737" t="s">
        <v>205</v>
      </c>
      <c r="B737" t="s">
        <v>206</v>
      </c>
    </row>
    <row r="738" spans="1:2" x14ac:dyDescent="0.25">
      <c r="A738" t="s">
        <v>2221</v>
      </c>
      <c r="B738" t="s">
        <v>2222</v>
      </c>
    </row>
    <row r="739" spans="1:2" x14ac:dyDescent="0.25">
      <c r="A739" t="s">
        <v>2223</v>
      </c>
      <c r="B739" t="s">
        <v>2224</v>
      </c>
    </row>
    <row r="740" spans="1:2" x14ac:dyDescent="0.25">
      <c r="A740" t="s">
        <v>2225</v>
      </c>
      <c r="B740" t="s">
        <v>2226</v>
      </c>
    </row>
    <row r="741" spans="1:2" x14ac:dyDescent="0.25">
      <c r="A741" t="s">
        <v>2227</v>
      </c>
      <c r="B741" t="s">
        <v>2228</v>
      </c>
    </row>
    <row r="742" spans="1:2" x14ac:dyDescent="0.25">
      <c r="A742" t="s">
        <v>2229</v>
      </c>
      <c r="B742" t="s">
        <v>2230</v>
      </c>
    </row>
    <row r="743" spans="1:2" x14ac:dyDescent="0.25">
      <c r="A743" t="s">
        <v>2231</v>
      </c>
      <c r="B743" t="s">
        <v>2232</v>
      </c>
    </row>
    <row r="744" spans="1:2" x14ac:dyDescent="0.25">
      <c r="A744" t="s">
        <v>2233</v>
      </c>
      <c r="B744" t="s">
        <v>2234</v>
      </c>
    </row>
    <row r="745" spans="1:2" x14ac:dyDescent="0.25">
      <c r="A745" t="s">
        <v>2235</v>
      </c>
      <c r="B745" t="s">
        <v>2236</v>
      </c>
    </row>
    <row r="746" spans="1:2" x14ac:dyDescent="0.25">
      <c r="A746" t="s">
        <v>262</v>
      </c>
      <c r="B746" t="s">
        <v>263</v>
      </c>
    </row>
    <row r="747" spans="1:2" x14ac:dyDescent="0.25">
      <c r="A747" t="s">
        <v>2237</v>
      </c>
      <c r="B747" t="s">
        <v>2238</v>
      </c>
    </row>
    <row r="748" spans="1:2" x14ac:dyDescent="0.25">
      <c r="A748" t="s">
        <v>2239</v>
      </c>
      <c r="B748" t="s">
        <v>2240</v>
      </c>
    </row>
    <row r="749" spans="1:2" x14ac:dyDescent="0.25">
      <c r="A749" t="s">
        <v>2241</v>
      </c>
      <c r="B749" t="s">
        <v>2242</v>
      </c>
    </row>
    <row r="750" spans="1:2" x14ac:dyDescent="0.25">
      <c r="A750" t="s">
        <v>2243</v>
      </c>
      <c r="B750" t="s">
        <v>2244</v>
      </c>
    </row>
    <row r="751" spans="1:2" x14ac:dyDescent="0.25">
      <c r="A751" t="s">
        <v>741</v>
      </c>
      <c r="B751" t="s">
        <v>742</v>
      </c>
    </row>
    <row r="752" spans="1:2" x14ac:dyDescent="0.25">
      <c r="A752" t="s">
        <v>2245</v>
      </c>
      <c r="B752" t="s">
        <v>2246</v>
      </c>
    </row>
    <row r="753" spans="1:2" x14ac:dyDescent="0.25">
      <c r="A753" t="s">
        <v>234</v>
      </c>
      <c r="B753" t="s">
        <v>2247</v>
      </c>
    </row>
    <row r="754" spans="1:2" x14ac:dyDescent="0.25">
      <c r="A754" t="s">
        <v>2248</v>
      </c>
      <c r="B754" t="s">
        <v>2249</v>
      </c>
    </row>
    <row r="755" spans="1:2" x14ac:dyDescent="0.25">
      <c r="A755" t="s">
        <v>2250</v>
      </c>
      <c r="B755" t="s">
        <v>2251</v>
      </c>
    </row>
    <row r="756" spans="1:2" x14ac:dyDescent="0.25">
      <c r="A756" t="s">
        <v>2252</v>
      </c>
      <c r="B756" t="s">
        <v>2253</v>
      </c>
    </row>
    <row r="757" spans="1:2" x14ac:dyDescent="0.25">
      <c r="A757" t="s">
        <v>2254</v>
      </c>
      <c r="B757" t="s">
        <v>1828</v>
      </c>
    </row>
    <row r="758" spans="1:2" x14ac:dyDescent="0.25">
      <c r="A758" t="s">
        <v>2255</v>
      </c>
      <c r="B758" t="s">
        <v>2256</v>
      </c>
    </row>
    <row r="759" spans="1:2" x14ac:dyDescent="0.25">
      <c r="A759" t="s">
        <v>238</v>
      </c>
      <c r="B759" t="s">
        <v>2257</v>
      </c>
    </row>
    <row r="760" spans="1:2" x14ac:dyDescent="0.25">
      <c r="A760" t="s">
        <v>2258</v>
      </c>
      <c r="B760" t="s">
        <v>2259</v>
      </c>
    </row>
    <row r="761" spans="1:2" x14ac:dyDescent="0.25">
      <c r="A761" t="s">
        <v>2260</v>
      </c>
      <c r="B761" t="s">
        <v>2261</v>
      </c>
    </row>
    <row r="762" spans="1:2" x14ac:dyDescent="0.25">
      <c r="A762" t="s">
        <v>2262</v>
      </c>
      <c r="B762" t="s">
        <v>2263</v>
      </c>
    </row>
    <row r="763" spans="1:2" x14ac:dyDescent="0.25">
      <c r="A763" t="s">
        <v>2264</v>
      </c>
      <c r="B763" t="s">
        <v>2265</v>
      </c>
    </row>
    <row r="764" spans="1:2" x14ac:dyDescent="0.25">
      <c r="A764" t="s">
        <v>2266</v>
      </c>
      <c r="B764" t="s">
        <v>2267</v>
      </c>
    </row>
    <row r="765" spans="1:2" x14ac:dyDescent="0.25">
      <c r="A765" t="s">
        <v>2268</v>
      </c>
      <c r="B765" t="s">
        <v>2269</v>
      </c>
    </row>
    <row r="766" spans="1:2" x14ac:dyDescent="0.25">
      <c r="A766" t="s">
        <v>2270</v>
      </c>
      <c r="B766" t="s">
        <v>2271</v>
      </c>
    </row>
    <row r="767" spans="1:2" x14ac:dyDescent="0.25">
      <c r="A767" t="s">
        <v>2272</v>
      </c>
      <c r="B767" t="s">
        <v>2273</v>
      </c>
    </row>
    <row r="768" spans="1:2" x14ac:dyDescent="0.25">
      <c r="A768" t="s">
        <v>2274</v>
      </c>
      <c r="B768" t="s">
        <v>2275</v>
      </c>
    </row>
    <row r="769" spans="1:2" x14ac:dyDescent="0.25">
      <c r="A769" t="s">
        <v>2276</v>
      </c>
      <c r="B769" t="s">
        <v>2277</v>
      </c>
    </row>
    <row r="770" spans="1:2" x14ac:dyDescent="0.25">
      <c r="A770" t="s">
        <v>242</v>
      </c>
      <c r="B770" t="s">
        <v>243</v>
      </c>
    </row>
    <row r="771" spans="1:2" x14ac:dyDescent="0.25">
      <c r="A771" t="s">
        <v>2278</v>
      </c>
      <c r="B771" t="s">
        <v>2279</v>
      </c>
    </row>
    <row r="772" spans="1:2" x14ac:dyDescent="0.25">
      <c r="A772" t="s">
        <v>2280</v>
      </c>
      <c r="B772" t="s">
        <v>2281</v>
      </c>
    </row>
    <row r="773" spans="1:2" x14ac:dyDescent="0.25">
      <c r="A773" t="s">
        <v>2282</v>
      </c>
      <c r="B773" t="s">
        <v>2283</v>
      </c>
    </row>
    <row r="774" spans="1:2" x14ac:dyDescent="0.25">
      <c r="A774" t="s">
        <v>2284</v>
      </c>
      <c r="B774" t="s">
        <v>2285</v>
      </c>
    </row>
    <row r="775" spans="1:2" x14ac:dyDescent="0.25">
      <c r="A775" t="s">
        <v>2286</v>
      </c>
      <c r="B775" t="s">
        <v>2287</v>
      </c>
    </row>
    <row r="776" spans="1:2" x14ac:dyDescent="0.25">
      <c r="A776" t="s">
        <v>2288</v>
      </c>
      <c r="B776" t="s">
        <v>2289</v>
      </c>
    </row>
    <row r="777" spans="1:2" x14ac:dyDescent="0.25">
      <c r="A777" t="s">
        <v>2290</v>
      </c>
      <c r="B777" t="s">
        <v>2291</v>
      </c>
    </row>
    <row r="778" spans="1:2" x14ac:dyDescent="0.25">
      <c r="A778" t="s">
        <v>212</v>
      </c>
      <c r="B778" t="s">
        <v>2292</v>
      </c>
    </row>
    <row r="779" spans="1:2" x14ac:dyDescent="0.25">
      <c r="A779" t="s">
        <v>2293</v>
      </c>
      <c r="B779" t="s">
        <v>2294</v>
      </c>
    </row>
    <row r="780" spans="1:2" x14ac:dyDescent="0.25">
      <c r="A780" t="s">
        <v>2295</v>
      </c>
      <c r="B780" t="s">
        <v>2296</v>
      </c>
    </row>
    <row r="781" spans="1:2" x14ac:dyDescent="0.25">
      <c r="A781" t="s">
        <v>2297</v>
      </c>
      <c r="B781" t="s">
        <v>2298</v>
      </c>
    </row>
    <row r="782" spans="1:2" x14ac:dyDescent="0.25">
      <c r="A782" t="s">
        <v>2299</v>
      </c>
      <c r="B782" t="s">
        <v>2300</v>
      </c>
    </row>
    <row r="783" spans="1:2" x14ac:dyDescent="0.25">
      <c r="A783" t="s">
        <v>2301</v>
      </c>
      <c r="B783" t="s">
        <v>2302</v>
      </c>
    </row>
    <row r="784" spans="1:2" x14ac:dyDescent="0.25">
      <c r="A784" t="s">
        <v>2303</v>
      </c>
      <c r="B784" t="s">
        <v>2304</v>
      </c>
    </row>
    <row r="785" spans="1:2" x14ac:dyDescent="0.25">
      <c r="A785" t="s">
        <v>2305</v>
      </c>
      <c r="B785" t="s">
        <v>2306</v>
      </c>
    </row>
    <row r="786" spans="1:2" x14ac:dyDescent="0.25">
      <c r="A786" t="s">
        <v>2307</v>
      </c>
      <c r="B786" t="s">
        <v>2308</v>
      </c>
    </row>
    <row r="787" spans="1:2" x14ac:dyDescent="0.25">
      <c r="A787" t="s">
        <v>2309</v>
      </c>
      <c r="B787" t="s">
        <v>2310</v>
      </c>
    </row>
    <row r="788" spans="1:2" x14ac:dyDescent="0.25">
      <c r="A788" t="s">
        <v>2311</v>
      </c>
      <c r="B788" t="s">
        <v>2312</v>
      </c>
    </row>
    <row r="789" spans="1:2" x14ac:dyDescent="0.25">
      <c r="A789" t="s">
        <v>2313</v>
      </c>
      <c r="B789" t="s">
        <v>2314</v>
      </c>
    </row>
    <row r="790" spans="1:2" x14ac:dyDescent="0.25">
      <c r="A790" t="s">
        <v>2315</v>
      </c>
      <c r="B790" t="s">
        <v>2316</v>
      </c>
    </row>
    <row r="791" spans="1:2" x14ac:dyDescent="0.25">
      <c r="A791" t="s">
        <v>2317</v>
      </c>
      <c r="B791" t="s">
        <v>2318</v>
      </c>
    </row>
    <row r="792" spans="1:2" x14ac:dyDescent="0.25">
      <c r="A792" t="s">
        <v>2319</v>
      </c>
      <c r="B792" t="s">
        <v>2320</v>
      </c>
    </row>
    <row r="793" spans="1:2" x14ac:dyDescent="0.25">
      <c r="A793" t="s">
        <v>2321</v>
      </c>
      <c r="B793" t="s">
        <v>2322</v>
      </c>
    </row>
    <row r="794" spans="1:2" x14ac:dyDescent="0.25">
      <c r="A794" t="s">
        <v>2323</v>
      </c>
      <c r="B794" t="s">
        <v>2324</v>
      </c>
    </row>
    <row r="795" spans="1:2" x14ac:dyDescent="0.25">
      <c r="A795" t="s">
        <v>2325</v>
      </c>
      <c r="B795" t="s">
        <v>2326</v>
      </c>
    </row>
    <row r="796" spans="1:2" x14ac:dyDescent="0.25">
      <c r="A796" t="s">
        <v>2327</v>
      </c>
      <c r="B796" t="s">
        <v>2328</v>
      </c>
    </row>
    <row r="797" spans="1:2" x14ac:dyDescent="0.25">
      <c r="A797" t="s">
        <v>2329</v>
      </c>
      <c r="B797" t="s">
        <v>2330</v>
      </c>
    </row>
    <row r="798" spans="1:2" x14ac:dyDescent="0.25">
      <c r="A798" t="s">
        <v>2331</v>
      </c>
      <c r="B798" t="s">
        <v>2332</v>
      </c>
    </row>
    <row r="799" spans="1:2" x14ac:dyDescent="0.25">
      <c r="A799" t="s">
        <v>2333</v>
      </c>
      <c r="B799" t="s">
        <v>2334</v>
      </c>
    </row>
    <row r="800" spans="1:2" x14ac:dyDescent="0.25">
      <c r="A800" t="s">
        <v>2335</v>
      </c>
      <c r="B800" t="s">
        <v>2336</v>
      </c>
    </row>
    <row r="801" spans="1:2" x14ac:dyDescent="0.25">
      <c r="A801" t="s">
        <v>2337</v>
      </c>
      <c r="B801" t="s">
        <v>2338</v>
      </c>
    </row>
    <row r="802" spans="1:2" x14ac:dyDescent="0.25">
      <c r="A802" t="s">
        <v>2339</v>
      </c>
      <c r="B802" t="s">
        <v>2340</v>
      </c>
    </row>
    <row r="803" spans="1:2" x14ac:dyDescent="0.25">
      <c r="A803" t="s">
        <v>2341</v>
      </c>
      <c r="B803" t="s">
        <v>2342</v>
      </c>
    </row>
    <row r="804" spans="1:2" x14ac:dyDescent="0.25">
      <c r="A804" t="s">
        <v>2343</v>
      </c>
      <c r="B804" t="s">
        <v>2344</v>
      </c>
    </row>
    <row r="805" spans="1:2" x14ac:dyDescent="0.25">
      <c r="A805" t="s">
        <v>2345</v>
      </c>
      <c r="B805" t="s">
        <v>2346</v>
      </c>
    </row>
    <row r="806" spans="1:2" x14ac:dyDescent="0.25">
      <c r="A806" t="s">
        <v>2347</v>
      </c>
      <c r="B806" t="s">
        <v>2348</v>
      </c>
    </row>
    <row r="807" spans="1:2" x14ac:dyDescent="0.25">
      <c r="A807" t="s">
        <v>2349</v>
      </c>
      <c r="B807" t="s">
        <v>2350</v>
      </c>
    </row>
    <row r="808" spans="1:2" x14ac:dyDescent="0.25">
      <c r="A808" t="s">
        <v>74</v>
      </c>
      <c r="B808" t="s">
        <v>2351</v>
      </c>
    </row>
    <row r="809" spans="1:2" x14ac:dyDescent="0.25">
      <c r="A809" t="s">
        <v>135</v>
      </c>
      <c r="B809" t="s">
        <v>136</v>
      </c>
    </row>
    <row r="810" spans="1:2" x14ac:dyDescent="0.25">
      <c r="A810" t="s">
        <v>2352</v>
      </c>
      <c r="B810" t="s">
        <v>2353</v>
      </c>
    </row>
    <row r="811" spans="1:2" x14ac:dyDescent="0.25">
      <c r="A811" t="s">
        <v>2354</v>
      </c>
      <c r="B811" t="s">
        <v>2355</v>
      </c>
    </row>
    <row r="812" spans="1:2" x14ac:dyDescent="0.25">
      <c r="A812" t="s">
        <v>2356</v>
      </c>
      <c r="B812" t="s">
        <v>2357</v>
      </c>
    </row>
    <row r="813" spans="1:2" x14ac:dyDescent="0.25">
      <c r="A813" t="s">
        <v>2358</v>
      </c>
      <c r="B813" t="s">
        <v>2359</v>
      </c>
    </row>
    <row r="814" spans="1:2" x14ac:dyDescent="0.25">
      <c r="A814" t="s">
        <v>2360</v>
      </c>
      <c r="B814" t="s">
        <v>2361</v>
      </c>
    </row>
    <row r="815" spans="1:2" x14ac:dyDescent="0.25">
      <c r="A815" t="s">
        <v>2362</v>
      </c>
      <c r="B815" t="s">
        <v>2363</v>
      </c>
    </row>
    <row r="816" spans="1:2" x14ac:dyDescent="0.25">
      <c r="A816" t="s">
        <v>2364</v>
      </c>
      <c r="B816" t="s">
        <v>2365</v>
      </c>
    </row>
    <row r="817" spans="1:2" x14ac:dyDescent="0.25">
      <c r="A817" t="s">
        <v>2366</v>
      </c>
      <c r="B817" t="s">
        <v>2367</v>
      </c>
    </row>
    <row r="818" spans="1:2" x14ac:dyDescent="0.25">
      <c r="A818" t="s">
        <v>2368</v>
      </c>
      <c r="B818" t="s">
        <v>2369</v>
      </c>
    </row>
    <row r="819" spans="1:2" x14ac:dyDescent="0.25">
      <c r="A819" t="s">
        <v>2370</v>
      </c>
      <c r="B819" t="s">
        <v>2371</v>
      </c>
    </row>
    <row r="820" spans="1:2" x14ac:dyDescent="0.25">
      <c r="A820" t="s">
        <v>2372</v>
      </c>
      <c r="B820" t="s">
        <v>2373</v>
      </c>
    </row>
    <row r="821" spans="1:2" x14ac:dyDescent="0.25">
      <c r="A821" t="s">
        <v>276</v>
      </c>
      <c r="B821" t="s">
        <v>2374</v>
      </c>
    </row>
    <row r="822" spans="1:2" x14ac:dyDescent="0.25">
      <c r="A822" t="s">
        <v>2375</v>
      </c>
      <c r="B822" t="s">
        <v>2376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 Vellini</dc:creator>
  <cp:lastModifiedBy>Nicolas  Vellini</cp:lastModifiedBy>
  <dcterms:created xsi:type="dcterms:W3CDTF">2026-05-14T13:34:44Z</dcterms:created>
  <dcterms:modified xsi:type="dcterms:W3CDTF">2026-05-14T15:43:02Z</dcterms:modified>
</cp:coreProperties>
</file>